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323469_tcs_com/Documents/Desktop/Keeri/"/>
    </mc:Choice>
  </mc:AlternateContent>
  <xr:revisionPtr revIDLastSave="0" documentId="8_{66F2A631-FE75-4E46-80B2-272D24B27FD3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Student Subject Report" sheetId="1" r:id="rId1"/>
    <sheet name="June" sheetId="2" r:id="rId2"/>
    <sheet name="July" sheetId="3" r:id="rId3"/>
    <sheet name="August" sheetId="4" r:id="rId4"/>
    <sheet name="September" sheetId="5" r:id="rId5"/>
    <sheet name="October" sheetId="7" r:id="rId6"/>
    <sheet name="November" sheetId="8" r:id="rId7"/>
    <sheet name="Allotted Hours" sheetId="6" r:id="rId8"/>
  </sheets>
  <definedNames>
    <definedName name="_xlnm._FilterDatabase" localSheetId="0" hidden="1">'Student Subject Report'!$A$5:$P$46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E6" i="1"/>
  <c r="G6" i="1"/>
  <c r="I6" i="1"/>
  <c r="K6" i="1"/>
  <c r="M6" i="1"/>
  <c r="C7" i="1"/>
  <c r="E7" i="1"/>
  <c r="G7" i="1"/>
  <c r="I7" i="1"/>
  <c r="K7" i="1"/>
  <c r="M7" i="1"/>
  <c r="C8" i="1"/>
  <c r="E8" i="1"/>
  <c r="G8" i="1"/>
  <c r="I8" i="1"/>
  <c r="K8" i="1"/>
  <c r="M8" i="1"/>
  <c r="C9" i="1"/>
  <c r="E9" i="1"/>
  <c r="G9" i="1"/>
  <c r="I9" i="1"/>
  <c r="K9" i="1"/>
  <c r="M9" i="1"/>
  <c r="C10" i="1"/>
  <c r="E10" i="1"/>
  <c r="G10" i="1"/>
  <c r="I10" i="1"/>
  <c r="K10" i="1"/>
  <c r="M10" i="1"/>
  <c r="C11" i="1"/>
  <c r="E11" i="1"/>
  <c r="G11" i="1"/>
  <c r="I11" i="1"/>
  <c r="K11" i="1"/>
  <c r="M11" i="1"/>
  <c r="C12" i="1"/>
  <c r="E12" i="1"/>
  <c r="G12" i="1"/>
  <c r="I12" i="1"/>
  <c r="K12" i="1"/>
  <c r="M12" i="1"/>
  <c r="C13" i="1"/>
  <c r="E13" i="1"/>
  <c r="G13" i="1"/>
  <c r="I13" i="1"/>
  <c r="K13" i="1"/>
  <c r="M13" i="1"/>
  <c r="C14" i="1"/>
  <c r="E14" i="1"/>
  <c r="G14" i="1"/>
  <c r="I14" i="1"/>
  <c r="K14" i="1"/>
  <c r="M14" i="1"/>
  <c r="C15" i="1"/>
  <c r="E15" i="1"/>
  <c r="G15" i="1"/>
  <c r="I15" i="1"/>
  <c r="K15" i="1"/>
  <c r="M15" i="1"/>
  <c r="C16" i="1"/>
  <c r="E16" i="1"/>
  <c r="G16" i="1"/>
  <c r="I16" i="1"/>
  <c r="K16" i="1"/>
  <c r="M16" i="1"/>
  <c r="C17" i="1"/>
  <c r="E17" i="1"/>
  <c r="G17" i="1"/>
  <c r="I17" i="1"/>
  <c r="K17" i="1"/>
  <c r="M17" i="1"/>
  <c r="C18" i="1"/>
  <c r="E18" i="1"/>
  <c r="G18" i="1"/>
  <c r="I18" i="1"/>
  <c r="K18" i="1"/>
  <c r="M18" i="1"/>
  <c r="C19" i="1"/>
  <c r="E19" i="1"/>
  <c r="G19" i="1"/>
  <c r="I19" i="1"/>
  <c r="K19" i="1"/>
  <c r="M19" i="1"/>
  <c r="C20" i="1"/>
  <c r="E20" i="1"/>
  <c r="G20" i="1"/>
  <c r="I20" i="1"/>
  <c r="K20" i="1"/>
  <c r="M20" i="1"/>
  <c r="C21" i="1"/>
  <c r="E21" i="1"/>
  <c r="G21" i="1"/>
  <c r="I21" i="1"/>
  <c r="K21" i="1"/>
  <c r="M21" i="1"/>
  <c r="C22" i="1"/>
  <c r="E22" i="1"/>
  <c r="G22" i="1"/>
  <c r="I22" i="1"/>
  <c r="K22" i="1"/>
  <c r="M22" i="1"/>
  <c r="C23" i="1"/>
  <c r="E23" i="1"/>
  <c r="G23" i="1"/>
  <c r="I23" i="1"/>
  <c r="K23" i="1"/>
  <c r="M23" i="1"/>
  <c r="C24" i="1"/>
  <c r="E24" i="1"/>
  <c r="G24" i="1"/>
  <c r="I24" i="1"/>
  <c r="K24" i="1"/>
  <c r="M24" i="1"/>
  <c r="C25" i="1"/>
  <c r="E25" i="1"/>
  <c r="G25" i="1"/>
  <c r="I25" i="1"/>
  <c r="K25" i="1"/>
  <c r="M25" i="1"/>
  <c r="C26" i="1"/>
  <c r="E26" i="1"/>
  <c r="G26" i="1"/>
  <c r="I26" i="1"/>
  <c r="K26" i="1"/>
  <c r="M26" i="1"/>
  <c r="C27" i="1"/>
  <c r="E27" i="1"/>
  <c r="G27" i="1"/>
  <c r="I27" i="1"/>
  <c r="K27" i="1"/>
  <c r="M27" i="1"/>
  <c r="C28" i="1"/>
  <c r="E28" i="1"/>
  <c r="G28" i="1"/>
  <c r="I28" i="1"/>
  <c r="K28" i="1"/>
  <c r="M28" i="1"/>
  <c r="C29" i="1"/>
  <c r="E29" i="1"/>
  <c r="G29" i="1"/>
  <c r="I29" i="1"/>
  <c r="K29" i="1"/>
  <c r="M29" i="1"/>
  <c r="C30" i="1"/>
  <c r="E30" i="1"/>
  <c r="G30" i="1"/>
  <c r="I30" i="1"/>
  <c r="K30" i="1"/>
  <c r="M30" i="1"/>
  <c r="C31" i="1"/>
  <c r="E31" i="1"/>
  <c r="G31" i="1"/>
  <c r="I31" i="1"/>
  <c r="K31" i="1"/>
  <c r="M31" i="1"/>
  <c r="C32" i="1"/>
  <c r="E32" i="1"/>
  <c r="G32" i="1"/>
  <c r="I32" i="1"/>
  <c r="K32" i="1"/>
  <c r="M32" i="1"/>
  <c r="C33" i="1"/>
  <c r="E33" i="1"/>
  <c r="G33" i="1"/>
  <c r="I33" i="1"/>
  <c r="K33" i="1"/>
  <c r="M33" i="1"/>
  <c r="C34" i="1"/>
  <c r="E34" i="1"/>
  <c r="G34" i="1"/>
  <c r="I34" i="1"/>
  <c r="K34" i="1"/>
  <c r="M34" i="1"/>
  <c r="C35" i="1"/>
  <c r="E35" i="1"/>
  <c r="G35" i="1"/>
  <c r="I35" i="1"/>
  <c r="K35" i="1"/>
  <c r="M35" i="1"/>
  <c r="C36" i="1"/>
  <c r="E36" i="1"/>
  <c r="G36" i="1"/>
  <c r="I36" i="1"/>
  <c r="K36" i="1"/>
  <c r="M36" i="1"/>
  <c r="C37" i="1"/>
  <c r="E37" i="1"/>
  <c r="G37" i="1"/>
  <c r="I37" i="1"/>
  <c r="K37" i="1"/>
  <c r="M37" i="1"/>
  <c r="C38" i="1"/>
  <c r="E38" i="1"/>
  <c r="G38" i="1"/>
  <c r="I38" i="1"/>
  <c r="K38" i="1"/>
  <c r="M38" i="1"/>
  <c r="C39" i="1"/>
  <c r="E39" i="1"/>
  <c r="G39" i="1"/>
  <c r="I39" i="1"/>
  <c r="K39" i="1"/>
  <c r="M39" i="1"/>
  <c r="C40" i="1"/>
  <c r="E40" i="1"/>
  <c r="G40" i="1"/>
  <c r="I40" i="1"/>
  <c r="K40" i="1"/>
  <c r="M40" i="1"/>
  <c r="C41" i="1"/>
  <c r="E41" i="1"/>
  <c r="G41" i="1"/>
  <c r="I41" i="1"/>
  <c r="K41" i="1"/>
  <c r="M41" i="1"/>
  <c r="C42" i="1"/>
  <c r="E42" i="1"/>
  <c r="G42" i="1"/>
  <c r="I42" i="1"/>
  <c r="K42" i="1"/>
  <c r="M42" i="1"/>
  <c r="C43" i="1"/>
  <c r="E43" i="1"/>
  <c r="G43" i="1"/>
  <c r="I43" i="1"/>
  <c r="K43" i="1"/>
  <c r="M43" i="1"/>
  <c r="C44" i="1"/>
  <c r="E44" i="1"/>
  <c r="G44" i="1"/>
  <c r="I44" i="1"/>
  <c r="K44" i="1"/>
  <c r="M44" i="1"/>
  <c r="C45" i="1"/>
  <c r="E45" i="1"/>
  <c r="G45" i="1"/>
  <c r="I45" i="1"/>
  <c r="K45" i="1"/>
  <c r="M45" i="1"/>
  <c r="C46" i="1"/>
  <c r="E46" i="1"/>
  <c r="G46" i="1"/>
  <c r="I46" i="1"/>
  <c r="K46" i="1"/>
  <c r="M46" i="1"/>
  <c r="B10" i="6"/>
  <c r="C10" i="6"/>
  <c r="D10" i="6"/>
  <c r="E10" i="6"/>
  <c r="F10" i="6"/>
  <c r="G10" i="6"/>
  <c r="H10" i="6"/>
  <c r="I10" i="6"/>
  <c r="J10" i="6"/>
  <c r="K10" i="6"/>
  <c r="L8" i="6"/>
  <c r="L9" i="6"/>
  <c r="L7" i="6"/>
  <c r="L6" i="6"/>
  <c r="L5" i="6"/>
  <c r="L4" i="6"/>
  <c r="F28" i="1" l="1"/>
  <c r="F30" i="1"/>
  <c r="L16" i="1"/>
  <c r="H42" i="1"/>
  <c r="N24" i="1"/>
  <c r="J40" i="1"/>
  <c r="H37" i="1"/>
  <c r="H31" i="1"/>
  <c r="F39" i="1"/>
  <c r="H19" i="1"/>
  <c r="H13" i="1"/>
  <c r="F23" i="1"/>
  <c r="F15" i="1"/>
  <c r="F11" i="1"/>
  <c r="F46" i="1"/>
  <c r="F44" i="1"/>
  <c r="F42" i="1"/>
  <c r="F40" i="1"/>
  <c r="F16" i="1"/>
  <c r="O29" i="1"/>
  <c r="J6" i="1"/>
  <c r="H7" i="1"/>
  <c r="D40" i="1"/>
  <c r="H8" i="1"/>
  <c r="J24" i="1"/>
  <c r="D46" i="1"/>
  <c r="J31" i="1"/>
  <c r="D10" i="1"/>
  <c r="H40" i="1"/>
  <c r="J36" i="1"/>
  <c r="H24" i="1"/>
  <c r="H9" i="1"/>
  <c r="H36" i="1"/>
  <c r="H34" i="1"/>
  <c r="H22" i="1"/>
  <c r="F26" i="1"/>
  <c r="F36" i="1"/>
  <c r="F34" i="1"/>
  <c r="H32" i="1"/>
  <c r="H27" i="1"/>
  <c r="J25" i="1"/>
  <c r="F24" i="1"/>
  <c r="F22" i="1"/>
  <c r="H45" i="1"/>
  <c r="J43" i="1"/>
  <c r="F27" i="1"/>
  <c r="J18" i="1"/>
  <c r="J16" i="1"/>
  <c r="O7" i="1"/>
  <c r="F45" i="1"/>
  <c r="H43" i="1"/>
  <c r="L37" i="1"/>
  <c r="D34" i="1"/>
  <c r="F32" i="1"/>
  <c r="H25" i="1"/>
  <c r="H18" i="1"/>
  <c r="H16" i="1"/>
  <c r="J30" i="1"/>
  <c r="F18" i="1"/>
  <c r="J8" i="1"/>
  <c r="H39" i="1"/>
  <c r="H30" i="1"/>
  <c r="J28" i="1"/>
  <c r="L19" i="1"/>
  <c r="H12" i="1"/>
  <c r="F10" i="1"/>
  <c r="O46" i="1"/>
  <c r="H28" i="1"/>
  <c r="J19" i="1"/>
  <c r="J46" i="1"/>
  <c r="H33" i="1"/>
  <c r="H21" i="1"/>
  <c r="F8" i="1"/>
  <c r="H6" i="1"/>
  <c r="H46" i="1"/>
  <c r="F33" i="1"/>
  <c r="L24" i="1"/>
  <c r="F21" i="1"/>
  <c r="F6" i="1"/>
  <c r="J11" i="1"/>
  <c r="J42" i="1"/>
  <c r="O28" i="1"/>
  <c r="J13" i="1"/>
  <c r="L38" i="1"/>
  <c r="L32" i="1"/>
  <c r="O31" i="1"/>
  <c r="J14" i="1"/>
  <c r="N6" i="1"/>
  <c r="J44" i="1"/>
  <c r="J26" i="1"/>
  <c r="L17" i="1"/>
  <c r="H14" i="1"/>
  <c r="H35" i="1"/>
  <c r="H26" i="1"/>
  <c r="H41" i="1"/>
  <c r="F38" i="1"/>
  <c r="J33" i="1"/>
  <c r="L27" i="1"/>
  <c r="O22" i="1"/>
  <c r="L15" i="1"/>
  <c r="L12" i="1"/>
  <c r="F13" i="1"/>
  <c r="J45" i="1"/>
  <c r="F41" i="1"/>
  <c r="D35" i="1"/>
  <c r="F29" i="1"/>
  <c r="J27" i="1"/>
  <c r="F20" i="1"/>
  <c r="H17" i="1"/>
  <c r="J15" i="1"/>
  <c r="J12" i="1"/>
  <c r="O10" i="1"/>
  <c r="F9" i="1"/>
  <c r="L7" i="1"/>
  <c r="N14" i="1"/>
  <c r="L14" i="1"/>
  <c r="L44" i="1"/>
  <c r="J38" i="1"/>
  <c r="L35" i="1"/>
  <c r="J32" i="1"/>
  <c r="L26" i="1"/>
  <c r="J22" i="1"/>
  <c r="L41" i="1"/>
  <c r="O37" i="1"/>
  <c r="L20" i="1"/>
  <c r="H38" i="1"/>
  <c r="N23" i="1"/>
  <c r="J20" i="1"/>
  <c r="O16" i="1"/>
  <c r="H11" i="1"/>
  <c r="L6" i="1"/>
  <c r="H44" i="1"/>
  <c r="L39" i="1"/>
  <c r="L36" i="1"/>
  <c r="L33" i="1"/>
  <c r="L30" i="1"/>
  <c r="L45" i="1"/>
  <c r="L42" i="1"/>
  <c r="J39" i="1"/>
  <c r="F35" i="1"/>
  <c r="H29" i="1"/>
  <c r="L23" i="1"/>
  <c r="H20" i="1"/>
  <c r="F14" i="1"/>
  <c r="O11" i="1"/>
  <c r="D41" i="1"/>
  <c r="O34" i="1"/>
  <c r="D29" i="1"/>
  <c r="O26" i="1"/>
  <c r="L21" i="1"/>
  <c r="L18" i="1"/>
  <c r="F17" i="1"/>
  <c r="H15" i="1"/>
  <c r="L29" i="1"/>
  <c r="L9" i="1"/>
  <c r="O43" i="1"/>
  <c r="J9" i="1"/>
  <c r="O40" i="1"/>
  <c r="L31" i="1"/>
  <c r="H23" i="1"/>
  <c r="J21" i="1"/>
  <c r="O17" i="1"/>
  <c r="J7" i="1"/>
  <c r="L25" i="1"/>
  <c r="N19" i="1"/>
  <c r="L13" i="1"/>
  <c r="O12" i="1"/>
  <c r="J10" i="1"/>
  <c r="L43" i="1"/>
  <c r="J37" i="1"/>
  <c r="J34" i="1"/>
  <c r="O23" i="1"/>
  <c r="F12" i="1"/>
  <c r="H10" i="1"/>
  <c r="L8" i="1"/>
  <c r="D9" i="1"/>
  <c r="D20" i="1"/>
  <c r="D44" i="1"/>
  <c r="D15" i="1"/>
  <c r="D33" i="1"/>
  <c r="D8" i="1"/>
  <c r="D26" i="1"/>
  <c r="D32" i="1"/>
  <c r="D14" i="1"/>
  <c r="D21" i="1"/>
  <c r="D27" i="1"/>
  <c r="D38" i="1"/>
  <c r="O21" i="1"/>
  <c r="N25" i="1"/>
  <c r="D22" i="1"/>
  <c r="N7" i="1"/>
  <c r="N31" i="1"/>
  <c r="D42" i="1"/>
  <c r="D7" i="1"/>
  <c r="O18" i="1"/>
  <c r="N9" i="1"/>
  <c r="N39" i="1"/>
  <c r="N45" i="1"/>
  <c r="N10" i="1"/>
  <c r="N16" i="1"/>
  <c r="N33" i="1"/>
  <c r="N22" i="1"/>
  <c r="N28" i="1"/>
  <c r="N15" i="1"/>
  <c r="N21" i="1"/>
  <c r="N27" i="1"/>
  <c r="N46" i="1"/>
  <c r="N40" i="1"/>
  <c r="O35" i="1"/>
  <c r="N29" i="1"/>
  <c r="N20" i="1"/>
  <c r="D12" i="1"/>
  <c r="N41" i="1"/>
  <c r="N35" i="1"/>
  <c r="D17" i="1"/>
  <c r="O24" i="1"/>
  <c r="D13" i="1"/>
  <c r="O44" i="1"/>
  <c r="N26" i="1"/>
  <c r="D18" i="1"/>
  <c r="N12" i="1"/>
  <c r="N11" i="1"/>
  <c r="N43" i="1"/>
  <c r="N37" i="1"/>
  <c r="O33" i="1"/>
  <c r="D23" i="1"/>
  <c r="O9" i="1"/>
  <c r="O8" i="1"/>
  <c r="N42" i="1"/>
  <c r="N36" i="1"/>
  <c r="O38" i="1"/>
  <c r="D45" i="1"/>
  <c r="D39" i="1"/>
  <c r="O30" i="1"/>
  <c r="D28" i="1"/>
  <c r="O19" i="1"/>
  <c r="O14" i="1"/>
  <c r="N8" i="1"/>
  <c r="D36" i="1"/>
  <c r="D31" i="1"/>
  <c r="D16" i="1"/>
  <c r="O41" i="1"/>
  <c r="N34" i="1"/>
  <c r="O32" i="1"/>
  <c r="O13" i="1"/>
  <c r="O45" i="1"/>
  <c r="O42" i="1"/>
  <c r="O39" i="1"/>
  <c r="O36" i="1"/>
  <c r="N32" i="1"/>
  <c r="D24" i="1"/>
  <c r="N18" i="1"/>
  <c r="N17" i="1"/>
  <c r="N13" i="1"/>
  <c r="O6" i="1"/>
  <c r="D30" i="1"/>
  <c r="D11" i="1"/>
  <c r="N30" i="1"/>
  <c r="O27" i="1"/>
  <c r="N44" i="1"/>
  <c r="N38" i="1"/>
  <c r="O25" i="1"/>
  <c r="D25" i="1"/>
  <c r="O20" i="1"/>
  <c r="O15" i="1"/>
  <c r="D6" i="1"/>
  <c r="L40" i="1"/>
  <c r="L34" i="1"/>
  <c r="F31" i="1"/>
  <c r="F25" i="1"/>
  <c r="F7" i="1"/>
  <c r="F37" i="1"/>
  <c r="L10" i="1"/>
  <c r="D43" i="1"/>
  <c r="D37" i="1"/>
  <c r="D19" i="1"/>
  <c r="L46" i="1"/>
  <c r="L28" i="1"/>
  <c r="J23" i="1"/>
  <c r="F19" i="1"/>
  <c r="L11" i="1"/>
  <c r="F43" i="1"/>
  <c r="J41" i="1"/>
  <c r="J35" i="1"/>
  <c r="J29" i="1"/>
  <c r="L22" i="1"/>
  <c r="J17" i="1"/>
  <c r="L10" i="6"/>
  <c r="P6" i="1" l="1"/>
  <c r="P38" i="1"/>
  <c r="P18" i="1"/>
  <c r="P41" i="1"/>
  <c r="P44" i="1"/>
  <c r="P32" i="1"/>
  <c r="P37" i="1"/>
  <c r="P22" i="1"/>
  <c r="P43" i="1"/>
  <c r="P19" i="1"/>
  <c r="P27" i="1"/>
  <c r="P42" i="1"/>
  <c r="P21" i="1"/>
  <c r="P45" i="1"/>
  <c r="P30" i="1"/>
  <c r="P39" i="1"/>
  <c r="P13" i="1"/>
  <c r="P35" i="1"/>
  <c r="P7" i="1"/>
  <c r="P26" i="1"/>
  <c r="P34" i="1"/>
  <c r="P46" i="1"/>
  <c r="P29" i="1"/>
  <c r="P10" i="1"/>
  <c r="P40" i="1"/>
  <c r="P28" i="1"/>
  <c r="P9" i="1"/>
  <c r="P11" i="1"/>
  <c r="P15" i="1"/>
  <c r="P20" i="1"/>
  <c r="P24" i="1"/>
  <c r="P12" i="1"/>
  <c r="P25" i="1"/>
  <c r="P31" i="1"/>
  <c r="P17" i="1"/>
  <c r="P23" i="1"/>
  <c r="P8" i="1"/>
  <c r="P36" i="1"/>
  <c r="P14" i="1"/>
  <c r="P33" i="1"/>
  <c r="P16" i="1"/>
</calcChain>
</file>

<file path=xl/sharedStrings.xml><?xml version="1.0" encoding="utf-8"?>
<sst xmlns="http://schemas.openxmlformats.org/spreadsheetml/2006/main" count="413" uniqueCount="81">
  <si>
    <t>Student-wise Cumulative Subject Attendance Report</t>
  </si>
  <si>
    <t>Each percentage is calculated as cumulative attended hours divided by cumulative allotted hours. Theory and Practical are combined for MSDC, LDC, DA and IHD.</t>
  </si>
  <si>
    <t>S.No</t>
  </si>
  <si>
    <t>Student Name</t>
  </si>
  <si>
    <t>MSDC</t>
  </si>
  <si>
    <t>LDC</t>
  </si>
  <si>
    <t>DA</t>
  </si>
  <si>
    <t>IHD</t>
  </si>
  <si>
    <t>Clinical SLP</t>
  </si>
  <si>
    <t>Clinical Audio</t>
  </si>
  <si>
    <t>Overall</t>
  </si>
  <si>
    <t>Attended Hours</t>
  </si>
  <si>
    <t>Attendance %</t>
  </si>
  <si>
    <t>A Vinayaa Sri</t>
  </si>
  <si>
    <t>Albert Manuel</t>
  </si>
  <si>
    <t>Allen Joe I</t>
  </si>
  <si>
    <t>Amy Maria George</t>
  </si>
  <si>
    <t>Arva M</t>
  </si>
  <si>
    <t>B Reshma Bala</t>
  </si>
  <si>
    <t>Bivin Shanu I</t>
  </si>
  <si>
    <t>Dasu Sai Durga</t>
  </si>
  <si>
    <t>Deepalakshmi A</t>
  </si>
  <si>
    <t>Dhanuja Sri T</t>
  </si>
  <si>
    <t>Guhan Raj B</t>
  </si>
  <si>
    <t>Hamsika Srinidhi S</t>
  </si>
  <si>
    <t>Harrsini D</t>
  </si>
  <si>
    <t>Joanna Oviya J</t>
  </si>
  <si>
    <t>Jorshiba J</t>
  </si>
  <si>
    <t>Keerthana B</t>
  </si>
  <si>
    <t>Keerthanaa G</t>
  </si>
  <si>
    <t>Khadija Abifazal Dholkawala</t>
  </si>
  <si>
    <t>Mallipalli Rushitha</t>
  </si>
  <si>
    <t>Mohan Raj R</t>
  </si>
  <si>
    <t>Mohana Krishna S A</t>
  </si>
  <si>
    <t>Nivikasree B</t>
  </si>
  <si>
    <t>P K Vignessh</t>
  </si>
  <si>
    <t>Philbert Suresh</t>
  </si>
  <si>
    <t>Pitta Sai Priya</t>
  </si>
  <si>
    <t>Pooja A</t>
  </si>
  <si>
    <t>Pooja K</t>
  </si>
  <si>
    <t>Poojashree S</t>
  </si>
  <si>
    <t>Pouvarasane V</t>
  </si>
  <si>
    <t>S Samruddhi</t>
  </si>
  <si>
    <t>Sagaya Julius S</t>
  </si>
  <si>
    <t>Sandhiya N</t>
  </si>
  <si>
    <t>Sanjana S</t>
  </si>
  <si>
    <t>Shahidha Parveen M</t>
  </si>
  <si>
    <t>Shai Sri I</t>
  </si>
  <si>
    <t>Sherlin Jessy S</t>
  </si>
  <si>
    <t>Sweatha J</t>
  </si>
  <si>
    <t>Vihas S</t>
  </si>
  <si>
    <t>Vilma L A</t>
  </si>
  <si>
    <t>Vishnuvarthan S</t>
  </si>
  <si>
    <t>Mandumula Prithika</t>
  </si>
  <si>
    <t>June 2026 Attendance Source Data</t>
  </si>
  <si>
    <t>MSDC T</t>
  </si>
  <si>
    <t>MSDC P</t>
  </si>
  <si>
    <t>LDC T</t>
  </si>
  <si>
    <t>LDC P</t>
  </si>
  <si>
    <t>DA T</t>
  </si>
  <si>
    <t>DA P</t>
  </si>
  <si>
    <t>IHD T</t>
  </si>
  <si>
    <t>IHD P</t>
  </si>
  <si>
    <t>July 2026 Attendance Source Data</t>
  </si>
  <si>
    <t>August 2026 Attendance Source Data</t>
  </si>
  <si>
    <t>September 2026 Attendance Source Data</t>
  </si>
  <si>
    <t>Monthly Allotted Hours from Subject Headers</t>
  </si>
  <si>
    <t>Month</t>
  </si>
  <si>
    <t>Monthly Total</t>
  </si>
  <si>
    <t>June</t>
  </si>
  <si>
    <t>July</t>
  </si>
  <si>
    <t>August</t>
  </si>
  <si>
    <t>September</t>
  </si>
  <si>
    <t>Note</t>
  </si>
  <si>
    <t>June subject-header components total 52.5 hours, while the June Academics header shows 53.5 hours. The report uses subject-header allotted hours as requested.</t>
  </si>
  <si>
    <t>October 2026 Attendance Source Data</t>
  </si>
  <si>
    <t>November 2026 Attendance Source Data</t>
  </si>
  <si>
    <t>October</t>
  </si>
  <si>
    <t>November</t>
  </si>
  <si>
    <t>6-Month Total</t>
  </si>
  <si>
    <t>June to November 2026 | III B.ASLP (IV Semester) | Formula-based report for 41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</si>
</sst>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008000"/>
      <name val="Calibri"/>
    </font>
    <font>
      <b/>
      <sz val="11"/>
      <name val="Calibri"/>
    </font>
    <font>
      <b/>
      <sz val="11"/>
      <color rgb="FF666666"/>
      <name val="Calibri"/>
    </font>
    <font>
      <i/>
      <sz val="11"/>
      <color rgb="FF666666"/>
      <name val="Calibri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 tint="0.34998626667073579"/>
      <name val="Calibri"/>
      <family val="2"/>
    </font>
    <font>
      <b/>
      <sz val="14"/>
      <color theme="1" tint="0.34998626667073579"/>
      <name val="Calibri"/>
      <family val="2"/>
    </font>
    <font>
      <sz val="11"/>
      <color theme="1" tint="0.3499862666707357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/>
    </xf>
    <xf numFmtId="0" fontId="10" fillId="9" borderId="0" xfId="0" applyFont="1" applyFill="1"/>
    <xf numFmtId="0" fontId="9" fillId="9" borderId="1" xfId="0" applyFont="1" applyFill="1" applyBorder="1" applyAlignment="1">
      <alignment horizontal="center"/>
    </xf>
    <xf numFmtId="0" fontId="10" fillId="9" borderId="1" xfId="0" applyFont="1" applyFill="1" applyBorder="1"/>
    <xf numFmtId="0" fontId="8" fillId="8" borderId="1" xfId="0" applyFont="1" applyFill="1" applyBorder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/>
    <xf numFmtId="0" fontId="8" fillId="11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2" borderId="1" xfId="0" applyFill="1" applyBorder="1"/>
    <xf numFmtId="0" fontId="2" fillId="12" borderId="1" xfId="0" applyFont="1" applyFill="1" applyBorder="1" applyAlignment="1">
      <alignment horizontal="center"/>
    </xf>
    <xf numFmtId="0" fontId="0" fillId="12" borderId="0" xfId="0" applyFill="1"/>
    <xf numFmtId="0" fontId="2" fillId="12" borderId="1" xfId="0" applyFont="1" applyFill="1" applyBorder="1"/>
    <xf numFmtId="0" fontId="2" fillId="12" borderId="0" xfId="0" applyFont="1" applyFill="1" applyAlignment="1">
      <alignment horizontal="center"/>
    </xf>
  </cellXfs>
  <cellStyles count="1">
    <cellStyle name="Normal" xfId="0" builtinId="0"/>
  </cellStyles>
  <dxfs count="110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scheme val="none"/>
      </font>
      <fill>
        <patternFill patternType="solid">
          <fgColor indexed="64"/>
          <bgColor theme="5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uneSource" displayName="TblJuneSource" ref="A2:L43" headerRowDxfId="14" dataDxfId="11" totalsRowDxfId="13">
  <autoFilter ref="A2:L43" xr:uid="{00000000-0009-0000-0100-000001000000}"/>
  <tableColumns count="12">
    <tableColumn id="1" xr3:uid="{00000000-0010-0000-0000-000001000000}" name="S.No" dataDxfId="12"/>
    <tableColumn id="2" xr3:uid="{00000000-0010-0000-0000-000002000000}" name="Student Name" dataDxfId="10"/>
    <tableColumn id="3" xr3:uid="{00000000-0010-0000-0000-000003000000}" name="MSDC T" dataDxfId="9"/>
    <tableColumn id="4" xr3:uid="{00000000-0010-0000-0000-000004000000}" name="MSDC P" dataDxfId="8"/>
    <tableColumn id="5" xr3:uid="{00000000-0010-0000-0000-000005000000}" name="LDC T" dataDxfId="7"/>
    <tableColumn id="6" xr3:uid="{00000000-0010-0000-0000-000006000000}" name="LDC P" dataDxfId="6"/>
    <tableColumn id="7" xr3:uid="{00000000-0010-0000-0000-000007000000}" name="DA T" dataDxfId="5"/>
    <tableColumn id="8" xr3:uid="{00000000-0010-0000-0000-000008000000}" name="DA P" dataDxfId="4"/>
    <tableColumn id="9" xr3:uid="{00000000-0010-0000-0000-000009000000}" name="IHD T" dataDxfId="3"/>
    <tableColumn id="10" xr3:uid="{00000000-0010-0000-0000-00000A000000}" name="IHD P" dataDxfId="2"/>
    <tableColumn id="11" xr3:uid="{00000000-0010-0000-0000-00000B000000}" name="Clinical SLP" dataDxfId="1"/>
    <tableColumn id="12" xr3:uid="{00000000-0010-0000-0000-00000C000000}" name="Clinical Audi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JulySource" displayName="TblJulySource" ref="A2:L43" headerRowDxfId="37" dataDxfId="50" totalsRowDxfId="36">
  <autoFilter ref="A2:L43" xr:uid="{00000000-0009-0000-0100-000002000000}"/>
  <tableColumns count="12">
    <tableColumn id="1" xr3:uid="{00000000-0010-0000-0100-000001000000}" name="S.No" dataDxfId="49"/>
    <tableColumn id="2" xr3:uid="{00000000-0010-0000-0100-000002000000}" name="Student Name" dataDxfId="48"/>
    <tableColumn id="3" xr3:uid="{00000000-0010-0000-0100-000003000000}" name="MSDC T" dataDxfId="47"/>
    <tableColumn id="4" xr3:uid="{00000000-0010-0000-0100-000004000000}" name="MSDC P" dataDxfId="46"/>
    <tableColumn id="5" xr3:uid="{00000000-0010-0000-0100-000005000000}" name="LDC T" dataDxfId="45"/>
    <tableColumn id="6" xr3:uid="{00000000-0010-0000-0100-000006000000}" name="LDC P" dataDxfId="44"/>
    <tableColumn id="7" xr3:uid="{00000000-0010-0000-0100-000007000000}" name="DA T" dataDxfId="43"/>
    <tableColumn id="8" xr3:uid="{00000000-0010-0000-0100-000008000000}" name="DA P" dataDxfId="42"/>
    <tableColumn id="9" xr3:uid="{00000000-0010-0000-0100-000009000000}" name="IHD T" dataDxfId="41"/>
    <tableColumn id="10" xr3:uid="{00000000-0010-0000-0100-00000A000000}" name="IHD P" dataDxfId="40"/>
    <tableColumn id="11" xr3:uid="{00000000-0010-0000-0100-00000B000000}" name="Clinical SLP" dataDxfId="39"/>
    <tableColumn id="12" xr3:uid="{00000000-0010-0000-0100-00000C000000}" name="Clinical Audio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ugustSource" displayName="TblAugustSource" ref="A2:L43" headerRowDxfId="109" dataDxfId="62">
  <autoFilter ref="A2:L43" xr:uid="{00000000-0009-0000-0100-000003000000}"/>
  <tableColumns count="12">
    <tableColumn id="1" xr3:uid="{00000000-0010-0000-0200-000001000000}" name="S.No" dataDxfId="63"/>
    <tableColumn id="2" xr3:uid="{00000000-0010-0000-0200-000002000000}" name="Student Name" dataDxfId="61"/>
    <tableColumn id="3" xr3:uid="{00000000-0010-0000-0200-000003000000}" name="MSDC T" dataDxfId="60"/>
    <tableColumn id="4" xr3:uid="{00000000-0010-0000-0200-000004000000}" name="MSDC P" dataDxfId="59"/>
    <tableColumn id="5" xr3:uid="{00000000-0010-0000-0200-000005000000}" name="LDC T" dataDxfId="58"/>
    <tableColumn id="6" xr3:uid="{00000000-0010-0000-0200-000006000000}" name="LDC P" dataDxfId="57"/>
    <tableColumn id="7" xr3:uid="{00000000-0010-0000-0200-000007000000}" name="DA T" dataDxfId="56"/>
    <tableColumn id="8" xr3:uid="{00000000-0010-0000-0200-000008000000}" name="DA P" dataDxfId="55"/>
    <tableColumn id="9" xr3:uid="{00000000-0010-0000-0200-000009000000}" name="IHD T" dataDxfId="54"/>
    <tableColumn id="10" xr3:uid="{00000000-0010-0000-0200-00000A000000}" name="IHD P" dataDxfId="53"/>
    <tableColumn id="11" xr3:uid="{00000000-0010-0000-0200-00000B000000}" name="Clinical SLP" dataDxfId="52"/>
    <tableColumn id="12" xr3:uid="{00000000-0010-0000-0200-00000C000000}" name="Clinical Audio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eptemberSource" displayName="TblSeptemberSource" ref="A2:L43" headerRowDxfId="75" dataDxfId="78" totalsRowDxfId="74">
  <autoFilter ref="A2:L43" xr:uid="{00000000-0009-0000-0100-000004000000}"/>
  <tableColumns count="12">
    <tableColumn id="1" xr3:uid="{00000000-0010-0000-0300-000001000000}" name="S.No" dataDxfId="77"/>
    <tableColumn id="2" xr3:uid="{00000000-0010-0000-0300-000002000000}" name="Student Name" dataDxfId="76"/>
    <tableColumn id="3" xr3:uid="{00000000-0010-0000-0300-000003000000}" name="MSDC T" dataDxfId="73"/>
    <tableColumn id="4" xr3:uid="{00000000-0010-0000-0300-000004000000}" name="MSDC P" dataDxfId="72"/>
    <tableColumn id="5" xr3:uid="{00000000-0010-0000-0300-000005000000}" name="LDC T" dataDxfId="71"/>
    <tableColumn id="6" xr3:uid="{00000000-0010-0000-0300-000006000000}" name="LDC P" dataDxfId="70"/>
    <tableColumn id="7" xr3:uid="{00000000-0010-0000-0300-000007000000}" name="DA T" dataDxfId="69"/>
    <tableColumn id="8" xr3:uid="{00000000-0010-0000-0300-000008000000}" name="DA P" dataDxfId="68"/>
    <tableColumn id="9" xr3:uid="{00000000-0010-0000-0300-000009000000}" name="IHD T" dataDxfId="67"/>
    <tableColumn id="10" xr3:uid="{00000000-0010-0000-0300-00000A000000}" name="IHD P" dataDxfId="66"/>
    <tableColumn id="11" xr3:uid="{00000000-0010-0000-0300-00000B000000}" name="Clinical SLP" dataDxfId="65"/>
    <tableColumn id="12" xr3:uid="{00000000-0010-0000-0300-00000C000000}" name="Clinical Audio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C5FB4C-5423-43A1-A2A7-45A1CA8711ED}" name="TblOctoberSource" displayName="TblOctoberSource" ref="A2:L43" headerRowDxfId="80" dataDxfId="93" totalsRowDxfId="79">
  <autoFilter ref="A2:L43" xr:uid="{00000000-0009-0000-0100-000004000000}"/>
  <tableColumns count="12">
    <tableColumn id="1" xr3:uid="{16B297D4-D9CB-44C6-B6F9-FE362909FEEB}" name="S.No" dataDxfId="92"/>
    <tableColumn id="2" xr3:uid="{A41D69D1-CEAE-4B9A-9A2F-F9E7E2E2B0C6}" name="Student Name" dataDxfId="91"/>
    <tableColumn id="3" xr3:uid="{B2DA93A8-A198-4928-87D4-522DB921E5EE}" name="MSDC T" dataDxfId="90"/>
    <tableColumn id="4" xr3:uid="{CBB6E4CA-50CC-441A-93D4-A764730D26E9}" name="MSDC P" dataDxfId="89"/>
    <tableColumn id="5" xr3:uid="{8BD92B96-3E8E-4295-8ABF-56E0CCC3F3A7}" name="LDC T" dataDxfId="88"/>
    <tableColumn id="6" xr3:uid="{442DF6D5-D47D-43FE-B62B-FFB6825BE173}" name="LDC P" dataDxfId="87"/>
    <tableColumn id="7" xr3:uid="{FF80D6A6-41E6-4EAF-84EE-82C221B5F3E5}" name="DA T" dataDxfId="86"/>
    <tableColumn id="8" xr3:uid="{B5777405-57EB-41D6-A6AC-7BB5F88BFC7B}" name="DA P" dataDxfId="85"/>
    <tableColumn id="9" xr3:uid="{E925AFF1-F937-42B5-A685-0703F30C71A9}" name="IHD T" dataDxfId="84"/>
    <tableColumn id="10" xr3:uid="{8B5A7264-8666-43D8-8398-056208C75BAE}" name="IHD P" dataDxfId="83"/>
    <tableColumn id="11" xr3:uid="{A4D9D777-4224-4F0C-9F20-00D899F008E8}" name="Clinical SLP" dataDxfId="82"/>
    <tableColumn id="12" xr3:uid="{771B9CF5-7FBB-46EE-9692-C4B47B4EE7E7}" name="Clinical Audio" dataDxfId="8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515CDF-B63B-4806-86D7-600901681A1D}" name="TblNovemberSource" displayName="TblNovemberSource" ref="A2:L43" headerRowDxfId="108" dataDxfId="94" totalsRowDxfId="107">
  <autoFilter ref="A2:L43" xr:uid="{00000000-0009-0000-0100-000004000000}"/>
  <tableColumns count="12">
    <tableColumn id="1" xr3:uid="{3A14EDC0-16CC-4E6D-8CE1-E151175B52AC}" name="S.No" dataDxfId="106"/>
    <tableColumn id="2" xr3:uid="{66C0CCF9-59B4-4F73-8CFE-3262C590C858}" name="Student Name" dataDxfId="105"/>
    <tableColumn id="3" xr3:uid="{4DB2DE5B-7DA5-4392-B8E2-D1411B74A695}" name="MSDC T" dataDxfId="104"/>
    <tableColumn id="4" xr3:uid="{0CADEC01-6D67-49A4-9B74-3745456DF74E}" name="MSDC P" dataDxfId="103"/>
    <tableColumn id="5" xr3:uid="{FD2E89BB-C7FD-4978-BF7C-BBC598E0FAFB}" name="LDC T" dataDxfId="102"/>
    <tableColumn id="6" xr3:uid="{29B0E300-D998-42DB-A30B-41F430D64422}" name="LDC P" dataDxfId="101"/>
    <tableColumn id="7" xr3:uid="{10F6555E-FDEA-4A69-8058-16F8397A16E7}" name="DA T" dataDxfId="100"/>
    <tableColumn id="8" xr3:uid="{BE97D931-4EFC-4CD3-881C-DE362779A7EB}" name="DA P" dataDxfId="99"/>
    <tableColumn id="9" xr3:uid="{413CDBE4-C434-45F3-83DA-904CCA291AF8}" name="IHD T" dataDxfId="98"/>
    <tableColumn id="10" xr3:uid="{CBADA38C-9EC8-4D2F-8D3F-AA296667A580}" name="IHD P" dataDxfId="97"/>
    <tableColumn id="11" xr3:uid="{D75E7BCB-0E2A-4833-BAE8-0B94C27C5B03}" name="Clinical SLP" dataDxfId="96"/>
    <tableColumn id="12" xr3:uid="{DD9D5D33-4C79-495A-8C54-DB4F88344D69}" name="Clinical Audio" dataDxfId="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4" sqref="A4:A5"/>
    </sheetView>
  </sheetViews>
  <sheetFormatPr defaultRowHeight="14.5" x14ac:dyDescent="0.35"/>
  <cols>
    <col min="1" max="1" width="7" customWidth="1"/>
    <col min="2" max="2" width="31" customWidth="1"/>
    <col min="3" max="16" width="14" customWidth="1"/>
  </cols>
  <sheetData>
    <row r="1" spans="1:16" ht="19.5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5">
      <c r="A2" s="5" t="s">
        <v>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5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4" customHeight="1" x14ac:dyDescent="0.35">
      <c r="A4" s="13" t="s">
        <v>2</v>
      </c>
      <c r="B4" s="13" t="s">
        <v>3</v>
      </c>
      <c r="C4" s="13" t="s">
        <v>4</v>
      </c>
      <c r="D4" s="13"/>
      <c r="E4" s="13" t="s">
        <v>5</v>
      </c>
      <c r="F4" s="13"/>
      <c r="G4" s="13" t="s">
        <v>6</v>
      </c>
      <c r="H4" s="13"/>
      <c r="I4" s="13" t="s">
        <v>7</v>
      </c>
      <c r="J4" s="13"/>
      <c r="K4" s="13" t="s">
        <v>8</v>
      </c>
      <c r="L4" s="13"/>
      <c r="M4" s="13" t="s">
        <v>9</v>
      </c>
      <c r="N4" s="13"/>
      <c r="O4" s="13" t="s">
        <v>10</v>
      </c>
      <c r="P4" s="13"/>
    </row>
    <row r="5" spans="1:16" ht="32.15" customHeight="1" x14ac:dyDescent="0.35">
      <c r="A5" s="13"/>
      <c r="B5" s="13"/>
      <c r="C5" s="14" t="s">
        <v>11</v>
      </c>
      <c r="D5" s="15" t="s">
        <v>12</v>
      </c>
      <c r="E5" s="14" t="s">
        <v>11</v>
      </c>
      <c r="F5" s="15" t="s">
        <v>12</v>
      </c>
      <c r="G5" s="14" t="s">
        <v>11</v>
      </c>
      <c r="H5" s="15" t="s">
        <v>12</v>
      </c>
      <c r="I5" s="14" t="s">
        <v>11</v>
      </c>
      <c r="J5" s="15" t="s">
        <v>12</v>
      </c>
      <c r="K5" s="14" t="s">
        <v>11</v>
      </c>
      <c r="L5" s="15" t="s">
        <v>12</v>
      </c>
      <c r="M5" s="14" t="s">
        <v>11</v>
      </c>
      <c r="N5" s="15" t="s">
        <v>12</v>
      </c>
      <c r="O5" s="16" t="s">
        <v>11</v>
      </c>
      <c r="P5" s="16" t="s">
        <v>12</v>
      </c>
    </row>
    <row r="6" spans="1:16" x14ac:dyDescent="0.35">
      <c r="A6" s="8">
        <v>1</v>
      </c>
      <c r="B6" s="9" t="s">
        <v>13</v>
      </c>
      <c r="C6" s="8">
        <f>SUM(June!C3:D3,July!C3:D3,August!C3:D3,September!C3:D3,October!C3:D3,November!C3:D3)</f>
        <v>56.5</v>
      </c>
      <c r="D6" s="10">
        <f>IFERROR(C6/('Allotted Hours'!$B$10+'Allotted Hours'!$C$10),0)</f>
        <v>0.93388429752066116</v>
      </c>
      <c r="E6" s="8">
        <f>SUM(June!E3:F3,July!E3:F3,August!E3:F3,September!E3:F3,October!E3:F3,November!E3:F3)</f>
        <v>56</v>
      </c>
      <c r="F6" s="10">
        <f>IFERROR(E6/('Allotted Hours'!$D$10+'Allotted Hours'!$E$10),0)</f>
        <v>0.98245614035087714</v>
      </c>
      <c r="G6" s="8">
        <f>SUM(June!G3:H3,July!G3:H3,August!G3:H3,September!G3:H3,October!G3:H3,November!G3:H3)</f>
        <v>59</v>
      </c>
      <c r="H6" s="10">
        <f>IFERROR(G6/('Allotted Hours'!$F$10+'Allotted Hours'!$G$10),0)</f>
        <v>0.96721311475409832</v>
      </c>
      <c r="I6" s="8">
        <f>SUM(June!I3:J3,July!I3:J3,August!I3:J3,September!I3:J3,October!I3:J3,November!I3:J3)</f>
        <v>54</v>
      </c>
      <c r="J6" s="10">
        <f>IFERROR(I6/('Allotted Hours'!$H$10+'Allotted Hours'!$I$10),0)</f>
        <v>0.94736842105263153</v>
      </c>
      <c r="K6" s="8">
        <f>SUM(June!K3,July!K3,August!K3,September!K3,October!K3,November!K3)</f>
        <v>20</v>
      </c>
      <c r="L6" s="10">
        <f>IFERROR(K6/'Allotted Hours'!$J$10,0)</f>
        <v>1</v>
      </c>
      <c r="M6" s="8">
        <f>SUM(June!L3,July!L3,August!L3,September!L3,October!L3,November!L3)</f>
        <v>16</v>
      </c>
      <c r="N6" s="10">
        <f>IFERROR(M6/'Allotted Hours'!$K$10,0)</f>
        <v>1</v>
      </c>
      <c r="O6" s="8">
        <f>SUM(C6,E6,G6,I6,K6,M6)</f>
        <v>261.5</v>
      </c>
      <c r="P6" s="10">
        <f>IFERROR(O6/'Allotted Hours'!$L$10,0)</f>
        <v>0.96316758747697973</v>
      </c>
    </row>
    <row r="7" spans="1:16" x14ac:dyDescent="0.35">
      <c r="A7" s="8">
        <v>2</v>
      </c>
      <c r="B7" s="9" t="s">
        <v>14</v>
      </c>
      <c r="C7" s="8">
        <f>SUM(June!C4:D4,July!C4:D4,August!C4:D4,September!C4:D4,October!C4:D4,November!C4:D4)</f>
        <v>54</v>
      </c>
      <c r="D7" s="10">
        <f>IFERROR(C7/('Allotted Hours'!$B$10+'Allotted Hours'!$C$10),0)</f>
        <v>0.8925619834710744</v>
      </c>
      <c r="E7" s="8">
        <f>SUM(June!E4:F4,July!E4:F4,August!E4:F4,September!E4:F4,October!E4:F4,November!E4:F4)</f>
        <v>49</v>
      </c>
      <c r="F7" s="10">
        <f>IFERROR(E7/('Allotted Hours'!$D$10+'Allotted Hours'!$E$10),0)</f>
        <v>0.85964912280701755</v>
      </c>
      <c r="G7" s="8">
        <f>SUM(June!G4:H4,July!G4:H4,August!G4:H4,September!G4:H4,October!G4:H4,November!G4:H4)</f>
        <v>56.5</v>
      </c>
      <c r="H7" s="10">
        <f>IFERROR(G7/('Allotted Hours'!$F$10+'Allotted Hours'!$G$10),0)</f>
        <v>0.92622950819672134</v>
      </c>
      <c r="I7" s="8">
        <f>SUM(June!I4:J4,July!I4:J4,August!I4:J4,September!I4:J4,October!I4:J4,November!I4:J4)</f>
        <v>55</v>
      </c>
      <c r="J7" s="10">
        <f>IFERROR(I7/('Allotted Hours'!$H$10+'Allotted Hours'!$I$10),0)</f>
        <v>0.96491228070175439</v>
      </c>
      <c r="K7" s="8">
        <f>SUM(June!K4,July!K4,August!K4,September!K4,October!K4,November!K4)</f>
        <v>15</v>
      </c>
      <c r="L7" s="10">
        <f>IFERROR(K7/'Allotted Hours'!$J$10,0)</f>
        <v>0.75</v>
      </c>
      <c r="M7" s="8">
        <f>SUM(June!L4,July!L4,August!L4,September!L4,October!L4,November!L4)</f>
        <v>16</v>
      </c>
      <c r="N7" s="10">
        <f>IFERROR(M7/'Allotted Hours'!$K$10,0)</f>
        <v>1</v>
      </c>
      <c r="O7" s="8">
        <f>SUM(C7,E7,G7,I7,K7,M7)</f>
        <v>245.5</v>
      </c>
      <c r="P7" s="10">
        <f>IFERROR(O7/'Allotted Hours'!$L$10,0)</f>
        <v>0.90423572744014735</v>
      </c>
    </row>
    <row r="8" spans="1:16" x14ac:dyDescent="0.35">
      <c r="A8" s="8">
        <v>3</v>
      </c>
      <c r="B8" s="9" t="s">
        <v>15</v>
      </c>
      <c r="C8" s="8">
        <f>SUM(June!C5:D5,July!C5:D5,August!C5:D5,September!C5:D5,October!C5:D5,November!C5:D5)</f>
        <v>47</v>
      </c>
      <c r="D8" s="10">
        <f>IFERROR(C8/('Allotted Hours'!$B$10+'Allotted Hours'!$C$10),0)</f>
        <v>0.77685950413223137</v>
      </c>
      <c r="E8" s="8">
        <f>SUM(June!E5:F5,July!E5:F5,August!E5:F5,September!E5:F5,October!E5:F5,November!E5:F5)</f>
        <v>44</v>
      </c>
      <c r="F8" s="10">
        <f>IFERROR(E8/('Allotted Hours'!$D$10+'Allotted Hours'!$E$10),0)</f>
        <v>0.77192982456140347</v>
      </c>
      <c r="G8" s="8">
        <f>SUM(June!G5:H5,July!G5:H5,August!G5:H5,September!G5:H5,October!G5:H5,November!G5:H5)</f>
        <v>48.5</v>
      </c>
      <c r="H8" s="10">
        <f>IFERROR(G8/('Allotted Hours'!$F$10+'Allotted Hours'!$G$10),0)</f>
        <v>0.79508196721311475</v>
      </c>
      <c r="I8" s="8">
        <f>SUM(June!I5:J5,July!I5:J5,August!I5:J5,September!I5:J5,October!I5:J5,November!I5:J5)</f>
        <v>47</v>
      </c>
      <c r="J8" s="10">
        <f>IFERROR(I8/('Allotted Hours'!$H$10+'Allotted Hours'!$I$10),0)</f>
        <v>0.82456140350877194</v>
      </c>
      <c r="K8" s="8">
        <f>SUM(June!K5,July!K5,August!K5,September!K5,October!K5,November!K5)</f>
        <v>17</v>
      </c>
      <c r="L8" s="10">
        <f>IFERROR(K8/'Allotted Hours'!$J$10,0)</f>
        <v>0.85</v>
      </c>
      <c r="M8" s="8">
        <f>SUM(June!L5,July!L5,August!L5,September!L5,October!L5,November!L5)</f>
        <v>14</v>
      </c>
      <c r="N8" s="10">
        <f>IFERROR(M8/'Allotted Hours'!$K$10,0)</f>
        <v>0.875</v>
      </c>
      <c r="O8" s="8">
        <f>SUM(C8,E8,G8,I8,K8,M8)</f>
        <v>217.5</v>
      </c>
      <c r="P8" s="10">
        <f>IFERROR(O8/'Allotted Hours'!$L$10,0)</f>
        <v>0.80110497237569056</v>
      </c>
    </row>
    <row r="9" spans="1:16" x14ac:dyDescent="0.35">
      <c r="A9" s="8">
        <v>4</v>
      </c>
      <c r="B9" s="9" t="s">
        <v>16</v>
      </c>
      <c r="C9" s="8">
        <f>SUM(June!C6:D6,July!C6:D6,August!C6:D6,September!C6:D6,October!C6:D6,November!C6:D6)</f>
        <v>54.5</v>
      </c>
      <c r="D9" s="10">
        <f>IFERROR(C9/('Allotted Hours'!$B$10+'Allotted Hours'!$C$10),0)</f>
        <v>0.90082644628099173</v>
      </c>
      <c r="E9" s="8">
        <f>SUM(June!E6:F6,July!E6:F6,August!E6:F6,September!E6:F6,October!E6:F6,November!E6:F6)</f>
        <v>53</v>
      </c>
      <c r="F9" s="10">
        <f>IFERROR(E9/('Allotted Hours'!$D$10+'Allotted Hours'!$E$10),0)</f>
        <v>0.92982456140350878</v>
      </c>
      <c r="G9" s="8">
        <f>SUM(June!G6:H6,July!G6:H6,August!G6:H6,September!G6:H6,October!G6:H6,November!G6:H6)</f>
        <v>53</v>
      </c>
      <c r="H9" s="10">
        <f>IFERROR(G9/('Allotted Hours'!$F$10+'Allotted Hours'!$G$10),0)</f>
        <v>0.86885245901639341</v>
      </c>
      <c r="I9" s="8">
        <f>SUM(June!I6:J6,July!I6:J6,August!I6:J6,September!I6:J6,October!I6:J6,November!I6:J6)</f>
        <v>51</v>
      </c>
      <c r="J9" s="10">
        <f>IFERROR(I9/('Allotted Hours'!$H$10+'Allotted Hours'!$I$10),0)</f>
        <v>0.89473684210526316</v>
      </c>
      <c r="K9" s="8">
        <f>SUM(June!K6,July!K6,August!K6,September!K6,October!K6,November!K6)</f>
        <v>17</v>
      </c>
      <c r="L9" s="10">
        <f>IFERROR(K9/'Allotted Hours'!$J$10,0)</f>
        <v>0.85</v>
      </c>
      <c r="M9" s="8">
        <f>SUM(June!L6,July!L6,August!L6,September!L6,October!L6,November!L6)</f>
        <v>16</v>
      </c>
      <c r="N9" s="10">
        <f>IFERROR(M9/'Allotted Hours'!$K$10,0)</f>
        <v>1</v>
      </c>
      <c r="O9" s="8">
        <f>SUM(C9,E9,G9,I9,K9,M9)</f>
        <v>244.5</v>
      </c>
      <c r="P9" s="10">
        <f>IFERROR(O9/'Allotted Hours'!$L$10,0)</f>
        <v>0.90055248618784534</v>
      </c>
    </row>
    <row r="10" spans="1:16" x14ac:dyDescent="0.35">
      <c r="A10" s="8">
        <v>5</v>
      </c>
      <c r="B10" s="9" t="s">
        <v>17</v>
      </c>
      <c r="C10" s="8">
        <f>SUM(June!C7:D7,July!C7:D7,August!C7:D7,September!C7:D7,October!C7:D7,November!C7:D7)</f>
        <v>47</v>
      </c>
      <c r="D10" s="10">
        <f>IFERROR(C10/('Allotted Hours'!$B$10+'Allotted Hours'!$C$10),0)</f>
        <v>0.77685950413223137</v>
      </c>
      <c r="E10" s="8">
        <f>SUM(June!E7:F7,July!E7:F7,August!E7:F7,September!E7:F7,October!E7:F7,November!E7:F7)</f>
        <v>46</v>
      </c>
      <c r="F10" s="10">
        <f>IFERROR(E10/('Allotted Hours'!$D$10+'Allotted Hours'!$E$10),0)</f>
        <v>0.80701754385964908</v>
      </c>
      <c r="G10" s="8">
        <f>SUM(June!G7:H7,July!G7:H7,August!G7:H7,September!G7:H7,October!G7:H7,November!G7:H7)</f>
        <v>49</v>
      </c>
      <c r="H10" s="10">
        <f>IFERROR(G10/('Allotted Hours'!$F$10+'Allotted Hours'!$G$10),0)</f>
        <v>0.80327868852459017</v>
      </c>
      <c r="I10" s="8">
        <f>SUM(June!I7:J7,July!I7:J7,August!I7:J7,September!I7:J7,October!I7:J7,November!I7:J7)</f>
        <v>44</v>
      </c>
      <c r="J10" s="10">
        <f>IFERROR(I10/('Allotted Hours'!$H$10+'Allotted Hours'!$I$10),0)</f>
        <v>0.77192982456140347</v>
      </c>
      <c r="K10" s="8">
        <f>SUM(June!K7,July!K7,August!K7,September!K7,October!K7,November!K7)</f>
        <v>15</v>
      </c>
      <c r="L10" s="10">
        <f>IFERROR(K10/'Allotted Hours'!$J$10,0)</f>
        <v>0.75</v>
      </c>
      <c r="M10" s="8">
        <f>SUM(June!L7,July!L7,August!L7,September!L7,October!L7,November!L7)</f>
        <v>12</v>
      </c>
      <c r="N10" s="10">
        <f>IFERROR(M10/'Allotted Hours'!$K$10,0)</f>
        <v>0.75</v>
      </c>
      <c r="O10" s="8">
        <f>SUM(C10,E10,G10,I10,K10,M10)</f>
        <v>213</v>
      </c>
      <c r="P10" s="10">
        <f>IFERROR(O10/'Allotted Hours'!$L$10,0)</f>
        <v>0.78453038674033149</v>
      </c>
    </row>
    <row r="11" spans="1:16" x14ac:dyDescent="0.35">
      <c r="A11" s="8">
        <v>6</v>
      </c>
      <c r="B11" s="9" t="s">
        <v>18</v>
      </c>
      <c r="C11" s="8">
        <f>SUM(June!C8:D8,July!C8:D8,August!C8:D8,September!C8:D8,October!C8:D8,November!C8:D8)</f>
        <v>58.5</v>
      </c>
      <c r="D11" s="10">
        <f>IFERROR(C11/('Allotted Hours'!$B$10+'Allotted Hours'!$C$10),0)</f>
        <v>0.96694214876033058</v>
      </c>
      <c r="E11" s="8">
        <f>SUM(June!E8:F8,July!E8:F8,August!E8:F8,September!E8:F8,October!E8:F8,November!E8:F8)</f>
        <v>55</v>
      </c>
      <c r="F11" s="10">
        <f>IFERROR(E11/('Allotted Hours'!$D$10+'Allotted Hours'!$E$10),0)</f>
        <v>0.96491228070175439</v>
      </c>
      <c r="G11" s="8">
        <f>SUM(June!G8:H8,July!G8:H8,August!G8:H8,September!G8:H8,October!G8:H8,November!G8:H8)</f>
        <v>59</v>
      </c>
      <c r="H11" s="10">
        <f>IFERROR(G11/('Allotted Hours'!$F$10+'Allotted Hours'!$G$10),0)</f>
        <v>0.96721311475409832</v>
      </c>
      <c r="I11" s="8">
        <f>SUM(June!I8:J8,July!I8:J8,August!I8:J8,September!I8:J8,October!I8:J8,November!I8:J8)</f>
        <v>57</v>
      </c>
      <c r="J11" s="10">
        <f>IFERROR(I11/('Allotted Hours'!$H$10+'Allotted Hours'!$I$10),0)</f>
        <v>1</v>
      </c>
      <c r="K11" s="8">
        <f>SUM(June!K8,July!K8,August!K8,September!K8,October!K8,November!K8)</f>
        <v>19</v>
      </c>
      <c r="L11" s="10">
        <f>IFERROR(K11/'Allotted Hours'!$J$10,0)</f>
        <v>0.95</v>
      </c>
      <c r="M11" s="8">
        <f>SUM(June!L8,July!L8,August!L8,September!L8,October!L8,November!L8)</f>
        <v>16</v>
      </c>
      <c r="N11" s="10">
        <f>IFERROR(M11/'Allotted Hours'!$K$10,0)</f>
        <v>1</v>
      </c>
      <c r="O11" s="8">
        <f>SUM(C11,E11,G11,I11,K11,M11)</f>
        <v>264.5</v>
      </c>
      <c r="P11" s="10">
        <f>IFERROR(O11/'Allotted Hours'!$L$10,0)</f>
        <v>0.97421731123388577</v>
      </c>
    </row>
    <row r="12" spans="1:16" x14ac:dyDescent="0.35">
      <c r="A12" s="8">
        <v>7</v>
      </c>
      <c r="B12" s="9" t="s">
        <v>19</v>
      </c>
      <c r="C12" s="8">
        <f>SUM(June!C9:D9,July!C9:D9,August!C9:D9,September!C9:D9,October!C9:D9,November!C9:D9)</f>
        <v>50.5</v>
      </c>
      <c r="D12" s="10">
        <f>IFERROR(C12/('Allotted Hours'!$B$10+'Allotted Hours'!$C$10),0)</f>
        <v>0.83471074380165289</v>
      </c>
      <c r="E12" s="8">
        <f>SUM(June!E9:F9,July!E9:F9,August!E9:F9,September!E9:F9,October!E9:F9,November!E9:F9)</f>
        <v>45</v>
      </c>
      <c r="F12" s="10">
        <f>IFERROR(E12/('Allotted Hours'!$D$10+'Allotted Hours'!$E$10),0)</f>
        <v>0.78947368421052633</v>
      </c>
      <c r="G12" s="8">
        <f>SUM(June!G9:H9,July!G9:H9,August!G9:H9,September!G9:H9,October!G9:H9,November!G9:H9)</f>
        <v>57</v>
      </c>
      <c r="H12" s="10">
        <f>IFERROR(G12/('Allotted Hours'!$F$10+'Allotted Hours'!$G$10),0)</f>
        <v>0.93442622950819676</v>
      </c>
      <c r="I12" s="8">
        <f>SUM(June!I9:J9,July!I9:J9,August!I9:J9,September!I9:J9,October!I9:J9,November!I9:J9)</f>
        <v>48</v>
      </c>
      <c r="J12" s="10">
        <f>IFERROR(I12/('Allotted Hours'!$H$10+'Allotted Hours'!$I$10),0)</f>
        <v>0.84210526315789469</v>
      </c>
      <c r="K12" s="8">
        <f>SUM(June!K9,July!K9,August!K9,September!K9,October!K9,November!K9)</f>
        <v>18</v>
      </c>
      <c r="L12" s="10">
        <f>IFERROR(K12/'Allotted Hours'!$J$10,0)</f>
        <v>0.9</v>
      </c>
      <c r="M12" s="8">
        <f>SUM(June!L9,July!L9,August!L9,September!L9,October!L9,November!L9)</f>
        <v>13</v>
      </c>
      <c r="N12" s="10">
        <f>IFERROR(M12/'Allotted Hours'!$K$10,0)</f>
        <v>0.8125</v>
      </c>
      <c r="O12" s="8">
        <f>SUM(C12,E12,G12,I12,K12,M12)</f>
        <v>231.5</v>
      </c>
      <c r="P12" s="10">
        <f>IFERROR(O12/'Allotted Hours'!$L$10,0)</f>
        <v>0.85267034990791901</v>
      </c>
    </row>
    <row r="13" spans="1:16" x14ac:dyDescent="0.35">
      <c r="A13" s="8">
        <v>8</v>
      </c>
      <c r="B13" s="9" t="s">
        <v>20</v>
      </c>
      <c r="C13" s="8">
        <f>SUM(June!C10:D10,July!C10:D10,August!C10:D10,September!C10:D10,October!C10:D10,November!C10:D10)</f>
        <v>57</v>
      </c>
      <c r="D13" s="10">
        <f>IFERROR(C13/('Allotted Hours'!$B$10+'Allotted Hours'!$C$10),0)</f>
        <v>0.94214876033057848</v>
      </c>
      <c r="E13" s="8">
        <f>SUM(June!E10:F10,July!E10:F10,August!E10:F10,September!E10:F10,October!E10:F10,November!E10:F10)</f>
        <v>53</v>
      </c>
      <c r="F13" s="10">
        <f>IFERROR(E13/('Allotted Hours'!$D$10+'Allotted Hours'!$E$10),0)</f>
        <v>0.92982456140350878</v>
      </c>
      <c r="G13" s="8">
        <f>SUM(June!G10:H10,July!G10:H10,August!G10:H10,September!G10:H10,October!G10:H10,November!G10:H10)</f>
        <v>53</v>
      </c>
      <c r="H13" s="10">
        <f>IFERROR(G13/('Allotted Hours'!$F$10+'Allotted Hours'!$G$10),0)</f>
        <v>0.86885245901639341</v>
      </c>
      <c r="I13" s="8">
        <f>SUM(June!I10:J10,July!I10:J10,August!I10:J10,September!I10:J10,October!I10:J10,November!I10:J10)</f>
        <v>48</v>
      </c>
      <c r="J13" s="10">
        <f>IFERROR(I13/('Allotted Hours'!$H$10+'Allotted Hours'!$I$10),0)</f>
        <v>0.84210526315789469</v>
      </c>
      <c r="K13" s="8">
        <f>SUM(June!K10,July!K10,August!K10,September!K10,October!K10,November!K10)</f>
        <v>20</v>
      </c>
      <c r="L13" s="10">
        <f>IFERROR(K13/'Allotted Hours'!$J$10,0)</f>
        <v>1</v>
      </c>
      <c r="M13" s="8">
        <f>SUM(June!L10,July!L10,August!L10,September!L10,October!L10,November!L10)</f>
        <v>13</v>
      </c>
      <c r="N13" s="10">
        <f>IFERROR(M13/'Allotted Hours'!$K$10,0)</f>
        <v>0.8125</v>
      </c>
      <c r="O13" s="8">
        <f>SUM(C13,E13,G13,I13,K13,M13)</f>
        <v>244</v>
      </c>
      <c r="P13" s="10">
        <f>IFERROR(O13/'Allotted Hours'!$L$10,0)</f>
        <v>0.89871086556169433</v>
      </c>
    </row>
    <row r="14" spans="1:16" x14ac:dyDescent="0.35">
      <c r="A14" s="8">
        <v>9</v>
      </c>
      <c r="B14" s="9" t="s">
        <v>21</v>
      </c>
      <c r="C14" s="8">
        <f>SUM(June!C11:D11,July!C11:D11,August!C11:D11,September!C11:D11,October!C11:D11,November!C11:D11)</f>
        <v>55.5</v>
      </c>
      <c r="D14" s="10">
        <f>IFERROR(C14/('Allotted Hours'!$B$10+'Allotted Hours'!$C$10),0)</f>
        <v>0.9173553719008265</v>
      </c>
      <c r="E14" s="8">
        <f>SUM(June!E11:F11,July!E11:F11,August!E11:F11,September!E11:F11,October!E11:F11,November!E11:F11)</f>
        <v>54</v>
      </c>
      <c r="F14" s="10">
        <f>IFERROR(E14/('Allotted Hours'!$D$10+'Allotted Hours'!$E$10),0)</f>
        <v>0.94736842105263153</v>
      </c>
      <c r="G14" s="8">
        <f>SUM(June!G11:H11,July!G11:H11,August!G11:H11,September!G11:H11,October!G11:H11,November!G11:H11)</f>
        <v>57</v>
      </c>
      <c r="H14" s="10">
        <f>IFERROR(G14/('Allotted Hours'!$F$10+'Allotted Hours'!$G$10),0)</f>
        <v>0.93442622950819676</v>
      </c>
      <c r="I14" s="8">
        <f>SUM(June!I11:J11,July!I11:J11,August!I11:J11,September!I11:J11,October!I11:J11,November!I11:J11)</f>
        <v>57</v>
      </c>
      <c r="J14" s="10">
        <f>IFERROR(I14/('Allotted Hours'!$H$10+'Allotted Hours'!$I$10),0)</f>
        <v>1</v>
      </c>
      <c r="K14" s="8">
        <f>SUM(June!K11,July!K11,August!K11,September!K11,October!K11,November!K11)</f>
        <v>17</v>
      </c>
      <c r="L14" s="10">
        <f>IFERROR(K14/'Allotted Hours'!$J$10,0)</f>
        <v>0.85</v>
      </c>
      <c r="M14" s="8">
        <f>SUM(June!L11,July!L11,August!L11,September!L11,October!L11,November!L11)</f>
        <v>14</v>
      </c>
      <c r="N14" s="10">
        <f>IFERROR(M14/'Allotted Hours'!$K$10,0)</f>
        <v>0.875</v>
      </c>
      <c r="O14" s="8">
        <f>SUM(C14,E14,G14,I14,K14,M14)</f>
        <v>254.5</v>
      </c>
      <c r="P14" s="10">
        <f>IFERROR(O14/'Allotted Hours'!$L$10,0)</f>
        <v>0.93738489871086561</v>
      </c>
    </row>
    <row r="15" spans="1:16" x14ac:dyDescent="0.35">
      <c r="A15" s="8">
        <v>10</v>
      </c>
      <c r="B15" s="9" t="s">
        <v>22</v>
      </c>
      <c r="C15" s="8">
        <f>SUM(June!C12:D12,July!C12:D12,August!C12:D12,September!C12:D12,October!C12:D12,November!C12:D12)</f>
        <v>58.5</v>
      </c>
      <c r="D15" s="10">
        <f>IFERROR(C15/('Allotted Hours'!$B$10+'Allotted Hours'!$C$10),0)</f>
        <v>0.96694214876033058</v>
      </c>
      <c r="E15" s="8">
        <f>SUM(June!E12:F12,July!E12:F12,August!E12:F12,September!E12:F12,October!E12:F12,November!E12:F12)</f>
        <v>53</v>
      </c>
      <c r="F15" s="10">
        <f>IFERROR(E15/('Allotted Hours'!$D$10+'Allotted Hours'!$E$10),0)</f>
        <v>0.92982456140350878</v>
      </c>
      <c r="G15" s="8">
        <f>SUM(June!G12:H12,July!G12:H12,August!G12:H12,September!G12:H12,October!G12:H12,November!G12:H12)</f>
        <v>57</v>
      </c>
      <c r="H15" s="10">
        <f>IFERROR(G15/('Allotted Hours'!$F$10+'Allotted Hours'!$G$10),0)</f>
        <v>0.93442622950819676</v>
      </c>
      <c r="I15" s="8">
        <f>SUM(June!I12:J12,July!I12:J12,August!I12:J12,September!I12:J12,October!I12:J12,November!I12:J12)</f>
        <v>54</v>
      </c>
      <c r="J15" s="10">
        <f>IFERROR(I15/('Allotted Hours'!$H$10+'Allotted Hours'!$I$10),0)</f>
        <v>0.94736842105263153</v>
      </c>
      <c r="K15" s="8">
        <f>SUM(June!K12,July!K12,August!K12,September!K12,October!K12,November!K12)</f>
        <v>20</v>
      </c>
      <c r="L15" s="10">
        <f>IFERROR(K15/'Allotted Hours'!$J$10,0)</f>
        <v>1</v>
      </c>
      <c r="M15" s="8">
        <f>SUM(June!L12,July!L12,August!L12,September!L12,October!L12,November!L12)</f>
        <v>16</v>
      </c>
      <c r="N15" s="10">
        <f>IFERROR(M15/'Allotted Hours'!$K$10,0)</f>
        <v>1</v>
      </c>
      <c r="O15" s="8">
        <f>SUM(C15,E15,G15,I15,K15,M15)</f>
        <v>258.5</v>
      </c>
      <c r="P15" s="10">
        <f>IFERROR(O15/'Allotted Hours'!$L$10,0)</f>
        <v>0.95211786372007368</v>
      </c>
    </row>
    <row r="16" spans="1:16" x14ac:dyDescent="0.35">
      <c r="A16" s="8">
        <v>11</v>
      </c>
      <c r="B16" s="9" t="s">
        <v>23</v>
      </c>
      <c r="C16" s="8">
        <f>SUM(June!C13:D13,July!C13:D13,August!C13:D13,September!C13:D13,October!C13:D13,November!C13:D13)</f>
        <v>53.5</v>
      </c>
      <c r="D16" s="10">
        <f>IFERROR(C16/('Allotted Hours'!$B$10+'Allotted Hours'!$C$10),0)</f>
        <v>0.88429752066115708</v>
      </c>
      <c r="E16" s="8">
        <f>SUM(June!E13:F13,July!E13:F13,August!E13:F13,September!E13:F13,October!E13:F13,November!E13:F13)</f>
        <v>49</v>
      </c>
      <c r="F16" s="10">
        <f>IFERROR(E16/('Allotted Hours'!$D$10+'Allotted Hours'!$E$10),0)</f>
        <v>0.85964912280701755</v>
      </c>
      <c r="G16" s="8">
        <f>SUM(June!G13:H13,July!G13:H13,August!G13:H13,September!G13:H13,October!G13:H13,November!G13:H13)</f>
        <v>45</v>
      </c>
      <c r="H16" s="10">
        <f>IFERROR(G16/('Allotted Hours'!$F$10+'Allotted Hours'!$G$10),0)</f>
        <v>0.73770491803278693</v>
      </c>
      <c r="I16" s="8">
        <f>SUM(June!I13:J13,July!I13:J13,August!I13:J13,September!I13:J13,October!I13:J13,November!I13:J13)</f>
        <v>45</v>
      </c>
      <c r="J16" s="10">
        <f>IFERROR(I16/('Allotted Hours'!$H$10+'Allotted Hours'!$I$10),0)</f>
        <v>0.78947368421052633</v>
      </c>
      <c r="K16" s="8">
        <f>SUM(June!K13,July!K13,August!K13,September!K13,October!K13,November!K13)</f>
        <v>17</v>
      </c>
      <c r="L16" s="10">
        <f>IFERROR(K16/'Allotted Hours'!$J$10,0)</f>
        <v>0.85</v>
      </c>
      <c r="M16" s="8">
        <f>SUM(June!L13,July!L13,August!L13,September!L13,October!L13,November!L13)</f>
        <v>15</v>
      </c>
      <c r="N16" s="10">
        <f>IFERROR(M16/'Allotted Hours'!$K$10,0)</f>
        <v>0.9375</v>
      </c>
      <c r="O16" s="8">
        <f>SUM(C16,E16,G16,I16,K16,M16)</f>
        <v>224.5</v>
      </c>
      <c r="P16" s="10">
        <f>IFERROR(O16/'Allotted Hours'!$L$10,0)</f>
        <v>0.82688766114180479</v>
      </c>
    </row>
    <row r="17" spans="1:16" x14ac:dyDescent="0.35">
      <c r="A17" s="8">
        <v>12</v>
      </c>
      <c r="B17" s="9" t="s">
        <v>24</v>
      </c>
      <c r="C17" s="8">
        <f>SUM(June!C14:D14,July!C14:D14,August!C14:D14,September!C14:D14,October!C14:D14,November!C14:D14)</f>
        <v>54.5</v>
      </c>
      <c r="D17" s="10">
        <f>IFERROR(C17/('Allotted Hours'!$B$10+'Allotted Hours'!$C$10),0)</f>
        <v>0.90082644628099173</v>
      </c>
      <c r="E17" s="8">
        <f>SUM(June!E14:F14,July!E14:F14,August!E14:F14,September!E14:F14,October!E14:F14,November!E14:F14)</f>
        <v>51</v>
      </c>
      <c r="F17" s="10">
        <f>IFERROR(E17/('Allotted Hours'!$D$10+'Allotted Hours'!$E$10),0)</f>
        <v>0.89473684210526316</v>
      </c>
      <c r="G17" s="8">
        <f>SUM(June!G14:H14,July!G14:H14,August!G14:H14,September!G14:H14,October!G14:H14,November!G14:H14)</f>
        <v>53</v>
      </c>
      <c r="H17" s="10">
        <f>IFERROR(G17/('Allotted Hours'!$F$10+'Allotted Hours'!$G$10),0)</f>
        <v>0.86885245901639341</v>
      </c>
      <c r="I17" s="8">
        <f>SUM(June!I14:J14,July!I14:J14,August!I14:J14,September!I14:J14,October!I14:J14,November!I14:J14)</f>
        <v>55</v>
      </c>
      <c r="J17" s="10">
        <f>IFERROR(I17/('Allotted Hours'!$H$10+'Allotted Hours'!$I$10),0)</f>
        <v>0.96491228070175439</v>
      </c>
      <c r="K17" s="8">
        <f>SUM(June!K14,July!K14,August!K14,September!K14,October!K14,November!K14)</f>
        <v>17</v>
      </c>
      <c r="L17" s="10">
        <f>IFERROR(K17/'Allotted Hours'!$J$10,0)</f>
        <v>0.85</v>
      </c>
      <c r="M17" s="8">
        <f>SUM(June!L14,July!L14,August!L14,September!L14,October!L14,November!L14)</f>
        <v>13</v>
      </c>
      <c r="N17" s="10">
        <f>IFERROR(M17/'Allotted Hours'!$K$10,0)</f>
        <v>0.8125</v>
      </c>
      <c r="O17" s="8">
        <f>SUM(C17,E17,G17,I17,K17,M17)</f>
        <v>243.5</v>
      </c>
      <c r="P17" s="10">
        <f>IFERROR(O17/'Allotted Hours'!$L$10,0)</f>
        <v>0.89686924493554332</v>
      </c>
    </row>
    <row r="18" spans="1:16" x14ac:dyDescent="0.35">
      <c r="A18" s="8">
        <v>13</v>
      </c>
      <c r="B18" s="9" t="s">
        <v>25</v>
      </c>
      <c r="C18" s="8">
        <f>SUM(June!C15:D15,July!C15:D15,August!C15:D15,September!C15:D15,October!C15:D15,November!C15:D15)</f>
        <v>56.5</v>
      </c>
      <c r="D18" s="10">
        <f>IFERROR(C18/('Allotted Hours'!$B$10+'Allotted Hours'!$C$10),0)</f>
        <v>0.93388429752066116</v>
      </c>
      <c r="E18" s="8">
        <f>SUM(June!E15:F15,July!E15:F15,August!E15:F15,September!E15:F15,October!E15:F15,November!E15:F15)</f>
        <v>52</v>
      </c>
      <c r="F18" s="10">
        <f>IFERROR(E18/('Allotted Hours'!$D$10+'Allotted Hours'!$E$10),0)</f>
        <v>0.91228070175438591</v>
      </c>
      <c r="G18" s="8">
        <f>SUM(June!G15:H15,July!G15:H15,August!G15:H15,September!G15:H15,October!G15:H15,November!G15:H15)</f>
        <v>51</v>
      </c>
      <c r="H18" s="10">
        <f>IFERROR(G18/('Allotted Hours'!$F$10+'Allotted Hours'!$G$10),0)</f>
        <v>0.83606557377049184</v>
      </c>
      <c r="I18" s="8">
        <f>SUM(June!I15:J15,July!I15:J15,August!I15:J15,September!I15:J15,October!I15:J15,November!I15:J15)</f>
        <v>45</v>
      </c>
      <c r="J18" s="10">
        <f>IFERROR(I18/('Allotted Hours'!$H$10+'Allotted Hours'!$I$10),0)</f>
        <v>0.78947368421052633</v>
      </c>
      <c r="K18" s="8">
        <f>SUM(June!K15,July!K15,August!K15,September!K15,October!K15,November!K15)</f>
        <v>17</v>
      </c>
      <c r="L18" s="10">
        <f>IFERROR(K18/'Allotted Hours'!$J$10,0)</f>
        <v>0.85</v>
      </c>
      <c r="M18" s="8">
        <f>SUM(June!L15,July!L15,August!L15,September!L15,October!L15,November!L15)</f>
        <v>14</v>
      </c>
      <c r="N18" s="10">
        <f>IFERROR(M18/'Allotted Hours'!$K$10,0)</f>
        <v>0.875</v>
      </c>
      <c r="O18" s="8">
        <f>SUM(C18,E18,G18,I18,K18,M18)</f>
        <v>235.5</v>
      </c>
      <c r="P18" s="10">
        <f>IFERROR(O18/'Allotted Hours'!$L$10,0)</f>
        <v>0.86740331491712708</v>
      </c>
    </row>
    <row r="19" spans="1:16" x14ac:dyDescent="0.35">
      <c r="A19" s="8">
        <v>14</v>
      </c>
      <c r="B19" s="9" t="s">
        <v>26</v>
      </c>
      <c r="C19" s="8">
        <f>SUM(June!C16:D16,July!C16:D16,August!C16:D16,September!C16:D16,October!C16:D16,November!C16:D16)</f>
        <v>55.5</v>
      </c>
      <c r="D19" s="10">
        <f>IFERROR(C19/('Allotted Hours'!$B$10+'Allotted Hours'!$C$10),0)</f>
        <v>0.9173553719008265</v>
      </c>
      <c r="E19" s="8">
        <f>SUM(June!E16:F16,July!E16:F16,August!E16:F16,September!E16:F16,October!E16:F16,November!E16:F16)</f>
        <v>54</v>
      </c>
      <c r="F19" s="10">
        <f>IFERROR(E19/('Allotted Hours'!$D$10+'Allotted Hours'!$E$10),0)</f>
        <v>0.94736842105263153</v>
      </c>
      <c r="G19" s="8">
        <f>SUM(June!G16:H16,July!G16:H16,August!G16:H16,September!G16:H16,October!G16:H16,November!G16:H16)</f>
        <v>51</v>
      </c>
      <c r="H19" s="10">
        <f>IFERROR(G19/('Allotted Hours'!$F$10+'Allotted Hours'!$G$10),0)</f>
        <v>0.83606557377049184</v>
      </c>
      <c r="I19" s="8">
        <f>SUM(June!I16:J16,July!I16:J16,August!I16:J16,September!I16:J16,October!I16:J16,November!I16:J16)</f>
        <v>55</v>
      </c>
      <c r="J19" s="10">
        <f>IFERROR(I19/('Allotted Hours'!$H$10+'Allotted Hours'!$I$10),0)</f>
        <v>0.96491228070175439</v>
      </c>
      <c r="K19" s="8">
        <f>SUM(June!K16,July!K16,August!K16,September!K16,October!K16,November!K16)</f>
        <v>16</v>
      </c>
      <c r="L19" s="10">
        <f>IFERROR(K19/'Allotted Hours'!$J$10,0)</f>
        <v>0.8</v>
      </c>
      <c r="M19" s="8">
        <f>SUM(June!L16,July!L16,August!L16,September!L16,October!L16,November!L16)</f>
        <v>16</v>
      </c>
      <c r="N19" s="10">
        <f>IFERROR(M19/'Allotted Hours'!$K$10,0)</f>
        <v>1</v>
      </c>
      <c r="O19" s="8">
        <f>SUM(C19,E19,G19,I19,K19,M19)</f>
        <v>247.5</v>
      </c>
      <c r="P19" s="10">
        <f>IFERROR(O19/'Allotted Hours'!$L$10,0)</f>
        <v>0.91160220994475138</v>
      </c>
    </row>
    <row r="20" spans="1:16" x14ac:dyDescent="0.35">
      <c r="A20" s="8">
        <v>15</v>
      </c>
      <c r="B20" s="9" t="s">
        <v>27</v>
      </c>
      <c r="C20" s="8">
        <f>SUM(June!C17:D17,July!C17:D17,August!C17:D17,September!C17:D17,October!C17:D17,November!C17:D17)</f>
        <v>56.5</v>
      </c>
      <c r="D20" s="10">
        <f>IFERROR(C20/('Allotted Hours'!$B$10+'Allotted Hours'!$C$10),0)</f>
        <v>0.93388429752066116</v>
      </c>
      <c r="E20" s="8">
        <f>SUM(June!E17:F17,July!E17:F17,August!E17:F17,September!E17:F17,October!E17:F17,November!E17:F17)</f>
        <v>54</v>
      </c>
      <c r="F20" s="10">
        <f>IFERROR(E20/('Allotted Hours'!$D$10+'Allotted Hours'!$E$10),0)</f>
        <v>0.94736842105263153</v>
      </c>
      <c r="G20" s="8">
        <f>SUM(June!G17:H17,July!G17:H17,August!G17:H17,September!G17:H17,October!G17:H17,November!G17:H17)</f>
        <v>52</v>
      </c>
      <c r="H20" s="10">
        <f>IFERROR(G20/('Allotted Hours'!$F$10+'Allotted Hours'!$G$10),0)</f>
        <v>0.85245901639344257</v>
      </c>
      <c r="I20" s="8">
        <f>SUM(June!I17:J17,July!I17:J17,August!I17:J17,September!I17:J17,October!I17:J17,November!I17:J17)</f>
        <v>52</v>
      </c>
      <c r="J20" s="10">
        <f>IFERROR(I20/('Allotted Hours'!$H$10+'Allotted Hours'!$I$10),0)</f>
        <v>0.91228070175438591</v>
      </c>
      <c r="K20" s="8">
        <f>SUM(June!K17,July!K17,August!K17,September!K17,October!K17,November!K17)</f>
        <v>17</v>
      </c>
      <c r="L20" s="10">
        <f>IFERROR(K20/'Allotted Hours'!$J$10,0)</f>
        <v>0.85</v>
      </c>
      <c r="M20" s="8">
        <f>SUM(June!L17,July!L17,August!L17,September!L17,October!L17,November!L17)</f>
        <v>15</v>
      </c>
      <c r="N20" s="10">
        <f>IFERROR(M20/'Allotted Hours'!$K$10,0)</f>
        <v>0.9375</v>
      </c>
      <c r="O20" s="8">
        <f>SUM(C20,E20,G20,I20,K20,M20)</f>
        <v>246.5</v>
      </c>
      <c r="P20" s="10">
        <f>IFERROR(O20/'Allotted Hours'!$L$10,0)</f>
        <v>0.90791896869244937</v>
      </c>
    </row>
    <row r="21" spans="1:16" x14ac:dyDescent="0.35">
      <c r="A21" s="8">
        <v>16</v>
      </c>
      <c r="B21" s="9" t="s">
        <v>28</v>
      </c>
      <c r="C21" s="8">
        <f>SUM(June!C18:D18,July!C18:D18,August!C18:D18,September!C18:D18,October!C18:D18,November!C18:D18)</f>
        <v>58.5</v>
      </c>
      <c r="D21" s="10">
        <f>IFERROR(C21/('Allotted Hours'!$B$10+'Allotted Hours'!$C$10),0)</f>
        <v>0.96694214876033058</v>
      </c>
      <c r="E21" s="8">
        <f>SUM(June!E18:F18,July!E18:F18,August!E18:F18,September!E18:F18,October!E18:F18,November!E18:F18)</f>
        <v>52</v>
      </c>
      <c r="F21" s="10">
        <f>IFERROR(E21/('Allotted Hours'!$D$10+'Allotted Hours'!$E$10),0)</f>
        <v>0.91228070175438591</v>
      </c>
      <c r="G21" s="8">
        <f>SUM(June!G18:H18,July!G18:H18,August!G18:H18,September!G18:H18,October!G18:H18,November!G18:H18)</f>
        <v>59</v>
      </c>
      <c r="H21" s="10">
        <f>IFERROR(G21/('Allotted Hours'!$F$10+'Allotted Hours'!$G$10),0)</f>
        <v>0.96721311475409832</v>
      </c>
      <c r="I21" s="8">
        <f>SUM(June!I18:J18,July!I18:J18,August!I18:J18,September!I18:J18,October!I18:J18,November!I18:J18)</f>
        <v>53</v>
      </c>
      <c r="J21" s="10">
        <f>IFERROR(I21/('Allotted Hours'!$H$10+'Allotted Hours'!$I$10),0)</f>
        <v>0.92982456140350878</v>
      </c>
      <c r="K21" s="8">
        <f>SUM(June!K18,July!K18,August!K18,September!K18,October!K18,November!K18)</f>
        <v>17</v>
      </c>
      <c r="L21" s="10">
        <f>IFERROR(K21/'Allotted Hours'!$J$10,0)</f>
        <v>0.85</v>
      </c>
      <c r="M21" s="8">
        <f>SUM(June!L18,July!L18,August!L18,September!L18,October!L18,November!L18)</f>
        <v>15</v>
      </c>
      <c r="N21" s="10">
        <f>IFERROR(M21/'Allotted Hours'!$K$10,0)</f>
        <v>0.9375</v>
      </c>
      <c r="O21" s="8">
        <f>SUM(C21,E21,G21,I21,K21,M21)</f>
        <v>254.5</v>
      </c>
      <c r="P21" s="10">
        <f>IFERROR(O21/'Allotted Hours'!$L$10,0)</f>
        <v>0.93738489871086561</v>
      </c>
    </row>
    <row r="22" spans="1:16" x14ac:dyDescent="0.35">
      <c r="A22" s="8">
        <v>17</v>
      </c>
      <c r="B22" s="9" t="s">
        <v>29</v>
      </c>
      <c r="C22" s="8">
        <f>SUM(June!C19:D19,July!C19:D19,August!C19:D19,September!C19:D19,October!C19:D19,November!C19:D19)</f>
        <v>58.5</v>
      </c>
      <c r="D22" s="10">
        <f>IFERROR(C22/('Allotted Hours'!$B$10+'Allotted Hours'!$C$10),0)</f>
        <v>0.96694214876033058</v>
      </c>
      <c r="E22" s="8">
        <f>SUM(June!E19:F19,July!E19:F19,August!E19:F19,September!E19:F19,October!E19:F19,November!E19:F19)</f>
        <v>55</v>
      </c>
      <c r="F22" s="10">
        <f>IFERROR(E22/('Allotted Hours'!$D$10+'Allotted Hours'!$E$10),0)</f>
        <v>0.96491228070175439</v>
      </c>
      <c r="G22" s="8">
        <f>SUM(June!G19:H19,July!G19:H19,August!G19:H19,September!G19:H19,October!G19:H19,November!G19:H19)</f>
        <v>61</v>
      </c>
      <c r="H22" s="10">
        <f>IFERROR(G22/('Allotted Hours'!$F$10+'Allotted Hours'!$G$10),0)</f>
        <v>1</v>
      </c>
      <c r="I22" s="8">
        <f>SUM(June!I19:J19,July!I19:J19,August!I19:J19,September!I19:J19,October!I19:J19,November!I19:J19)</f>
        <v>55</v>
      </c>
      <c r="J22" s="10">
        <f>IFERROR(I22/('Allotted Hours'!$H$10+'Allotted Hours'!$I$10),0)</f>
        <v>0.96491228070175439</v>
      </c>
      <c r="K22" s="8">
        <f>SUM(June!K19,July!K19,August!K19,September!K19,October!K19,November!K19)</f>
        <v>17</v>
      </c>
      <c r="L22" s="10">
        <f>IFERROR(K22/'Allotted Hours'!$J$10,0)</f>
        <v>0.85</v>
      </c>
      <c r="M22" s="8">
        <f>SUM(June!L19,July!L19,August!L19,September!L19,October!L19,November!L19)</f>
        <v>15</v>
      </c>
      <c r="N22" s="10">
        <f>IFERROR(M22/'Allotted Hours'!$K$10,0)</f>
        <v>0.9375</v>
      </c>
      <c r="O22" s="8">
        <f>SUM(C22,E22,G22,I22,K22,M22)</f>
        <v>261.5</v>
      </c>
      <c r="P22" s="10">
        <f>IFERROR(O22/'Allotted Hours'!$L$10,0)</f>
        <v>0.96316758747697973</v>
      </c>
    </row>
    <row r="23" spans="1:16" x14ac:dyDescent="0.35">
      <c r="A23" s="8">
        <v>18</v>
      </c>
      <c r="B23" s="9" t="s">
        <v>30</v>
      </c>
      <c r="C23" s="8">
        <f>SUM(June!C20:D20,July!C20:D20,August!C20:D20,September!C20:D20,October!C20:D20,November!C20:D20)</f>
        <v>54.5</v>
      </c>
      <c r="D23" s="10">
        <f>IFERROR(C23/('Allotted Hours'!$B$10+'Allotted Hours'!$C$10),0)</f>
        <v>0.90082644628099173</v>
      </c>
      <c r="E23" s="8">
        <f>SUM(June!E20:F20,July!E20:F20,August!E20:F20,September!E20:F20,October!E20:F20,November!E20:F20)</f>
        <v>48</v>
      </c>
      <c r="F23" s="10">
        <f>IFERROR(E23/('Allotted Hours'!$D$10+'Allotted Hours'!$E$10),0)</f>
        <v>0.84210526315789469</v>
      </c>
      <c r="G23" s="8">
        <f>SUM(June!G20:H20,July!G20:H20,August!G20:H20,September!G20:H20,October!G20:H20,November!G20:H20)</f>
        <v>49</v>
      </c>
      <c r="H23" s="10">
        <f>IFERROR(G23/('Allotted Hours'!$F$10+'Allotted Hours'!$G$10),0)</f>
        <v>0.80327868852459017</v>
      </c>
      <c r="I23" s="8">
        <f>SUM(June!I20:J20,July!I20:J20,August!I20:J20,September!I20:J20,October!I20:J20,November!I20:J20)</f>
        <v>48</v>
      </c>
      <c r="J23" s="10">
        <f>IFERROR(I23/('Allotted Hours'!$H$10+'Allotted Hours'!$I$10),0)</f>
        <v>0.84210526315789469</v>
      </c>
      <c r="K23" s="8">
        <f>SUM(June!K20,July!K20,August!K20,September!K20,October!K20,November!K20)</f>
        <v>17</v>
      </c>
      <c r="L23" s="10">
        <f>IFERROR(K23/'Allotted Hours'!$J$10,0)</f>
        <v>0.85</v>
      </c>
      <c r="M23" s="8">
        <f>SUM(June!L20,July!L20,August!L20,September!L20,October!L20,November!L20)</f>
        <v>13</v>
      </c>
      <c r="N23" s="10">
        <f>IFERROR(M23/'Allotted Hours'!$K$10,0)</f>
        <v>0.8125</v>
      </c>
      <c r="O23" s="8">
        <f>SUM(C23,E23,G23,I23,K23,M23)</f>
        <v>229.5</v>
      </c>
      <c r="P23" s="10">
        <f>IFERROR(O23/'Allotted Hours'!$L$10,0)</f>
        <v>0.84530386740331487</v>
      </c>
    </row>
    <row r="24" spans="1:16" x14ac:dyDescent="0.35">
      <c r="A24" s="8">
        <v>19</v>
      </c>
      <c r="B24" s="9" t="s">
        <v>31</v>
      </c>
      <c r="C24" s="8">
        <f>SUM(June!C21:D21,July!C21:D21,August!C21:D21,September!C21:D21,October!C21:D21,November!C21:D21)</f>
        <v>49.5</v>
      </c>
      <c r="D24" s="10">
        <f>IFERROR(C24/('Allotted Hours'!$B$10+'Allotted Hours'!$C$10),0)</f>
        <v>0.81818181818181823</v>
      </c>
      <c r="E24" s="8">
        <f>SUM(June!E21:F21,July!E21:F21,August!E21:F21,September!E21:F21,October!E21:F21,November!E21:F21)</f>
        <v>51</v>
      </c>
      <c r="F24" s="10">
        <f>IFERROR(E24/('Allotted Hours'!$D$10+'Allotted Hours'!$E$10),0)</f>
        <v>0.89473684210526316</v>
      </c>
      <c r="G24" s="8">
        <f>SUM(June!G21:H21,July!G21:H21,August!G21:H21,September!G21:H21,October!G21:H21,November!G21:H21)</f>
        <v>54</v>
      </c>
      <c r="H24" s="10">
        <f>IFERROR(G24/('Allotted Hours'!$F$10+'Allotted Hours'!$G$10),0)</f>
        <v>0.88524590163934425</v>
      </c>
      <c r="I24" s="8">
        <f>SUM(June!I21:J21,July!I21:J21,August!I21:J21,September!I21:J21,October!I21:J21,November!I21:J21)</f>
        <v>51</v>
      </c>
      <c r="J24" s="10">
        <f>IFERROR(I24/('Allotted Hours'!$H$10+'Allotted Hours'!$I$10),0)</f>
        <v>0.89473684210526316</v>
      </c>
      <c r="K24" s="8">
        <f>SUM(June!K21,July!K21,August!K21,September!K21,October!K21,November!K21)</f>
        <v>20</v>
      </c>
      <c r="L24" s="10">
        <f>IFERROR(K24/'Allotted Hours'!$J$10,0)</f>
        <v>1</v>
      </c>
      <c r="M24" s="8">
        <f>SUM(June!L21,July!L21,August!L21,September!L21,October!L21,November!L21)</f>
        <v>15</v>
      </c>
      <c r="N24" s="10">
        <f>IFERROR(M24/'Allotted Hours'!$K$10,0)</f>
        <v>0.9375</v>
      </c>
      <c r="O24" s="8">
        <f>SUM(C24,E24,G24,I24,K24,M24)</f>
        <v>240.5</v>
      </c>
      <c r="P24" s="10">
        <f>IFERROR(O24/'Allotted Hours'!$L$10,0)</f>
        <v>0.88581952117863716</v>
      </c>
    </row>
    <row r="25" spans="1:16" x14ac:dyDescent="0.35">
      <c r="A25" s="8">
        <v>20</v>
      </c>
      <c r="B25" s="9" t="s">
        <v>32</v>
      </c>
      <c r="C25" s="8">
        <f>SUM(June!C22:D22,July!C22:D22,August!C22:D22,September!C22:D22,October!C22:D22,November!C22:D22)</f>
        <v>50.5</v>
      </c>
      <c r="D25" s="10">
        <f>IFERROR(C25/('Allotted Hours'!$B$10+'Allotted Hours'!$C$10),0)</f>
        <v>0.83471074380165289</v>
      </c>
      <c r="E25" s="8">
        <f>SUM(June!E22:F22,July!E22:F22,August!E22:F22,September!E22:F22,October!E22:F22,November!E22:F22)</f>
        <v>50</v>
      </c>
      <c r="F25" s="10">
        <f>IFERROR(E25/('Allotted Hours'!$D$10+'Allotted Hours'!$E$10),0)</f>
        <v>0.8771929824561403</v>
      </c>
      <c r="G25" s="8">
        <f>SUM(June!G22:H22,July!G22:H22,August!G22:H22,September!G22:H22,October!G22:H22,November!G22:H22)</f>
        <v>48</v>
      </c>
      <c r="H25" s="10">
        <f>IFERROR(G25/('Allotted Hours'!$F$10+'Allotted Hours'!$G$10),0)</f>
        <v>0.78688524590163933</v>
      </c>
      <c r="I25" s="8">
        <f>SUM(June!I22:J22,July!I22:J22,August!I22:J22,September!I22:J22,October!I22:J22,November!I22:J22)</f>
        <v>52</v>
      </c>
      <c r="J25" s="10">
        <f>IFERROR(I25/('Allotted Hours'!$H$10+'Allotted Hours'!$I$10),0)</f>
        <v>0.91228070175438591</v>
      </c>
      <c r="K25" s="8">
        <f>SUM(June!K22,July!K22,August!K22,September!K22,October!K22,November!K22)</f>
        <v>14</v>
      </c>
      <c r="L25" s="10">
        <f>IFERROR(K25/'Allotted Hours'!$J$10,0)</f>
        <v>0.7</v>
      </c>
      <c r="M25" s="8">
        <f>SUM(June!L22,July!L22,August!L22,September!L22,October!L22,November!L22)</f>
        <v>13</v>
      </c>
      <c r="N25" s="10">
        <f>IFERROR(M25/'Allotted Hours'!$K$10,0)</f>
        <v>0.8125</v>
      </c>
      <c r="O25" s="8">
        <f>SUM(C25,E25,G25,I25,K25,M25)</f>
        <v>227.5</v>
      </c>
      <c r="P25" s="10">
        <f>IFERROR(O25/'Allotted Hours'!$L$10,0)</f>
        <v>0.83793738489871084</v>
      </c>
    </row>
    <row r="26" spans="1:16" x14ac:dyDescent="0.35">
      <c r="A26" s="8">
        <v>21</v>
      </c>
      <c r="B26" s="9" t="s">
        <v>33</v>
      </c>
      <c r="C26" s="8">
        <f>SUM(June!C23:D23,July!C23:D23,August!C23:D23,September!C23:D23,October!C23:D23,November!C23:D23)</f>
        <v>55.5</v>
      </c>
      <c r="D26" s="10">
        <f>IFERROR(C26/('Allotted Hours'!$B$10+'Allotted Hours'!$C$10),0)</f>
        <v>0.9173553719008265</v>
      </c>
      <c r="E26" s="8">
        <f>SUM(June!E23:F23,July!E23:F23,August!E23:F23,September!E23:F23,October!E23:F23,November!E23:F23)</f>
        <v>50</v>
      </c>
      <c r="F26" s="10">
        <f>IFERROR(E26/('Allotted Hours'!$D$10+'Allotted Hours'!$E$10),0)</f>
        <v>0.8771929824561403</v>
      </c>
      <c r="G26" s="8">
        <f>SUM(June!G23:H23,July!G23:H23,August!G23:H23,September!G23:H23,October!G23:H23,November!G23:H23)</f>
        <v>48</v>
      </c>
      <c r="H26" s="10">
        <f>IFERROR(G26/('Allotted Hours'!$F$10+'Allotted Hours'!$G$10),0)</f>
        <v>0.78688524590163933</v>
      </c>
      <c r="I26" s="8">
        <f>SUM(June!I23:J23,July!I23:J23,August!I23:J23,September!I23:J23,October!I23:J23,November!I23:J23)</f>
        <v>43</v>
      </c>
      <c r="J26" s="10">
        <f>IFERROR(I26/('Allotted Hours'!$H$10+'Allotted Hours'!$I$10),0)</f>
        <v>0.75438596491228072</v>
      </c>
      <c r="K26" s="8">
        <f>SUM(June!K23,July!K23,August!K23,September!K23,October!K23,November!K23)</f>
        <v>15</v>
      </c>
      <c r="L26" s="10">
        <f>IFERROR(K26/'Allotted Hours'!$J$10,0)</f>
        <v>0.75</v>
      </c>
      <c r="M26" s="8">
        <f>SUM(June!L23,July!L23,August!L23,September!L23,October!L23,November!L23)</f>
        <v>13</v>
      </c>
      <c r="N26" s="10">
        <f>IFERROR(M26/'Allotted Hours'!$K$10,0)</f>
        <v>0.8125</v>
      </c>
      <c r="O26" s="8">
        <f>SUM(C26,E26,G26,I26,K26,M26)</f>
        <v>224.5</v>
      </c>
      <c r="P26" s="10">
        <f>IFERROR(O26/'Allotted Hours'!$L$10,0)</f>
        <v>0.82688766114180479</v>
      </c>
    </row>
    <row r="27" spans="1:16" x14ac:dyDescent="0.35">
      <c r="A27" s="8">
        <v>22</v>
      </c>
      <c r="B27" s="9" t="s">
        <v>34</v>
      </c>
      <c r="C27" s="8">
        <f>SUM(June!C24:D24,July!C24:D24,August!C24:D24,September!C24:D24,October!C24:D24,November!C24:D24)</f>
        <v>54.5</v>
      </c>
      <c r="D27" s="10">
        <f>IFERROR(C27/('Allotted Hours'!$B$10+'Allotted Hours'!$C$10),0)</f>
        <v>0.90082644628099173</v>
      </c>
      <c r="E27" s="8">
        <f>SUM(June!E24:F24,July!E24:F24,August!E24:F24,September!E24:F24,October!E24:F24,November!E24:F24)</f>
        <v>49</v>
      </c>
      <c r="F27" s="10">
        <f>IFERROR(E27/('Allotted Hours'!$D$10+'Allotted Hours'!$E$10),0)</f>
        <v>0.85964912280701755</v>
      </c>
      <c r="G27" s="8">
        <f>SUM(June!G24:H24,July!G24:H24,August!G24:H24,September!G24:H24,October!G24:H24,November!G24:H24)</f>
        <v>61</v>
      </c>
      <c r="H27" s="10">
        <f>IFERROR(G27/('Allotted Hours'!$F$10+'Allotted Hours'!$G$10),0)</f>
        <v>1</v>
      </c>
      <c r="I27" s="8">
        <f>SUM(June!I24:J24,July!I24:J24,August!I24:J24,September!I24:J24,October!I24:J24,November!I24:J24)</f>
        <v>56</v>
      </c>
      <c r="J27" s="10">
        <f>IFERROR(I27/('Allotted Hours'!$H$10+'Allotted Hours'!$I$10),0)</f>
        <v>0.98245614035087714</v>
      </c>
      <c r="K27" s="8">
        <f>SUM(June!K24,July!K24,August!K24,September!K24,October!K24,November!K24)</f>
        <v>18</v>
      </c>
      <c r="L27" s="10">
        <f>IFERROR(K27/'Allotted Hours'!$J$10,0)</f>
        <v>0.9</v>
      </c>
      <c r="M27" s="8">
        <f>SUM(June!L24,July!L24,August!L24,September!L24,October!L24,November!L24)</f>
        <v>14</v>
      </c>
      <c r="N27" s="10">
        <f>IFERROR(M27/'Allotted Hours'!$K$10,0)</f>
        <v>0.875</v>
      </c>
      <c r="O27" s="8">
        <f>SUM(C27,E27,G27,I27,K27,M27)</f>
        <v>252.5</v>
      </c>
      <c r="P27" s="10">
        <f>IFERROR(O27/'Allotted Hours'!$L$10,0)</f>
        <v>0.93001841620626147</v>
      </c>
    </row>
    <row r="28" spans="1:16" x14ac:dyDescent="0.35">
      <c r="A28" s="8">
        <v>23</v>
      </c>
      <c r="B28" s="9" t="s">
        <v>35</v>
      </c>
      <c r="C28" s="8">
        <f>SUM(June!C25:D25,July!C25:D25,August!C25:D25,September!C25:D25,October!C25:D25,November!C25:D25)</f>
        <v>41.5</v>
      </c>
      <c r="D28" s="10">
        <f>IFERROR(C28/('Allotted Hours'!$B$10+'Allotted Hours'!$C$10),0)</f>
        <v>0.68595041322314054</v>
      </c>
      <c r="E28" s="8">
        <f>SUM(June!E25:F25,July!E25:F25,August!E25:F25,September!E25:F25,October!E25:F25,November!E25:F25)</f>
        <v>45</v>
      </c>
      <c r="F28" s="10">
        <f>IFERROR(E28/('Allotted Hours'!$D$10+'Allotted Hours'!$E$10),0)</f>
        <v>0.78947368421052633</v>
      </c>
      <c r="G28" s="8">
        <f>SUM(June!G25:H25,July!G25:H25,August!G25:H25,September!G25:H25,October!G25:H25,November!G25:H25)</f>
        <v>48</v>
      </c>
      <c r="H28" s="10">
        <f>IFERROR(G28/('Allotted Hours'!$F$10+'Allotted Hours'!$G$10),0)</f>
        <v>0.78688524590163933</v>
      </c>
      <c r="I28" s="8">
        <f>SUM(June!I25:J25,July!I25:J25,August!I25:J25,September!I25:J25,October!I25:J25,November!I25:J25)</f>
        <v>48</v>
      </c>
      <c r="J28" s="10">
        <f>IFERROR(I28/('Allotted Hours'!$H$10+'Allotted Hours'!$I$10),0)</f>
        <v>0.84210526315789469</v>
      </c>
      <c r="K28" s="8">
        <f>SUM(June!K25,July!K25,August!K25,September!K25,October!K25,November!K25)</f>
        <v>14</v>
      </c>
      <c r="L28" s="10">
        <f>IFERROR(K28/'Allotted Hours'!$J$10,0)</f>
        <v>0.7</v>
      </c>
      <c r="M28" s="8">
        <f>SUM(June!L25,July!L25,August!L25,September!L25,October!L25,November!L25)</f>
        <v>16</v>
      </c>
      <c r="N28" s="10">
        <f>IFERROR(M28/'Allotted Hours'!$K$10,0)</f>
        <v>1</v>
      </c>
      <c r="O28" s="8">
        <f>SUM(C28,E28,G28,I28,K28,M28)</f>
        <v>212.5</v>
      </c>
      <c r="P28" s="10">
        <f>IFERROR(O28/'Allotted Hours'!$L$10,0)</f>
        <v>0.78268876611418048</v>
      </c>
    </row>
    <row r="29" spans="1:16" x14ac:dyDescent="0.35">
      <c r="A29" s="8">
        <v>24</v>
      </c>
      <c r="B29" s="9" t="s">
        <v>36</v>
      </c>
      <c r="C29" s="8">
        <f>SUM(June!C26:D26,July!C26:D26,August!C26:D26,September!C26:D26,October!C26:D26,November!C26:D26)</f>
        <v>44.5</v>
      </c>
      <c r="D29" s="10">
        <f>IFERROR(C29/('Allotted Hours'!$B$10+'Allotted Hours'!$C$10),0)</f>
        <v>0.73553719008264462</v>
      </c>
      <c r="E29" s="8">
        <f>SUM(June!E26:F26,July!E26:F26,August!E26:F26,September!E26:F26,October!E26:F26,November!E26:F26)</f>
        <v>46</v>
      </c>
      <c r="F29" s="10">
        <f>IFERROR(E29/('Allotted Hours'!$D$10+'Allotted Hours'!$E$10),0)</f>
        <v>0.80701754385964908</v>
      </c>
      <c r="G29" s="8">
        <f>SUM(June!G26:H26,July!G26:H26,August!G26:H26,September!G26:H26,October!G26:H26,November!G26:H26)</f>
        <v>53</v>
      </c>
      <c r="H29" s="10">
        <f>IFERROR(G29/('Allotted Hours'!$F$10+'Allotted Hours'!$G$10),0)</f>
        <v>0.86885245901639341</v>
      </c>
      <c r="I29" s="8">
        <f>SUM(June!I26:J26,July!I26:J26,August!I26:J26,September!I26:J26,October!I26:J26,November!I26:J26)</f>
        <v>52</v>
      </c>
      <c r="J29" s="10">
        <f>IFERROR(I29/('Allotted Hours'!$H$10+'Allotted Hours'!$I$10),0)</f>
        <v>0.91228070175438591</v>
      </c>
      <c r="K29" s="8">
        <f>SUM(June!K26,July!K26,August!K26,September!K26,October!K26,November!K26)</f>
        <v>13</v>
      </c>
      <c r="L29" s="10">
        <f>IFERROR(K29/'Allotted Hours'!$J$10,0)</f>
        <v>0.65</v>
      </c>
      <c r="M29" s="8">
        <f>SUM(June!L26,July!L26,August!L26,September!L26,October!L26,November!L26)</f>
        <v>16</v>
      </c>
      <c r="N29" s="10">
        <f>IFERROR(M29/'Allotted Hours'!$K$10,0)</f>
        <v>1</v>
      </c>
      <c r="O29" s="8">
        <f>SUM(C29,E29,G29,I29,K29,M29)</f>
        <v>224.5</v>
      </c>
      <c r="P29" s="10">
        <f>IFERROR(O29/'Allotted Hours'!$L$10,0)</f>
        <v>0.82688766114180479</v>
      </c>
    </row>
    <row r="30" spans="1:16" x14ac:dyDescent="0.35">
      <c r="A30" s="8">
        <v>25</v>
      </c>
      <c r="B30" s="9" t="s">
        <v>37</v>
      </c>
      <c r="C30" s="8">
        <f>SUM(June!C27:D27,July!C27:D27,August!C27:D27,September!C27:D27,October!C27:D27,November!C27:D27)</f>
        <v>51.5</v>
      </c>
      <c r="D30" s="10">
        <f>IFERROR(C30/('Allotted Hours'!$B$10+'Allotted Hours'!$C$10),0)</f>
        <v>0.85123966942148765</v>
      </c>
      <c r="E30" s="8">
        <f>SUM(June!E27:F27,July!E27:F27,August!E27:F27,September!E27:F27,October!E27:F27,November!E27:F27)</f>
        <v>45</v>
      </c>
      <c r="F30" s="10">
        <f>IFERROR(E30/('Allotted Hours'!$D$10+'Allotted Hours'!$E$10),0)</f>
        <v>0.78947368421052633</v>
      </c>
      <c r="G30" s="8">
        <f>SUM(June!G27:H27,July!G27:H27,August!G27:H27,September!G27:H27,October!G27:H27,November!G27:H27)</f>
        <v>49</v>
      </c>
      <c r="H30" s="10">
        <f>IFERROR(G30/('Allotted Hours'!$F$10+'Allotted Hours'!$G$10),0)</f>
        <v>0.80327868852459017</v>
      </c>
      <c r="I30" s="8">
        <f>SUM(June!I27:J27,July!I27:J27,August!I27:J27,September!I27:J27,October!I27:J27,November!I27:J27)</f>
        <v>47</v>
      </c>
      <c r="J30" s="10">
        <f>IFERROR(I30/('Allotted Hours'!$H$10+'Allotted Hours'!$I$10),0)</f>
        <v>0.82456140350877194</v>
      </c>
      <c r="K30" s="8">
        <f>SUM(June!K27,July!K27,August!K27,September!K27,October!K27,November!K27)</f>
        <v>16</v>
      </c>
      <c r="L30" s="10">
        <f>IFERROR(K30/'Allotted Hours'!$J$10,0)</f>
        <v>0.8</v>
      </c>
      <c r="M30" s="8">
        <f>SUM(June!L27,July!L27,August!L27,September!L27,October!L27,November!L27)</f>
        <v>14</v>
      </c>
      <c r="N30" s="10">
        <f>IFERROR(M30/'Allotted Hours'!$K$10,0)</f>
        <v>0.875</v>
      </c>
      <c r="O30" s="8">
        <f>SUM(C30,E30,G30,I30,K30,M30)</f>
        <v>222.5</v>
      </c>
      <c r="P30" s="10">
        <f>IFERROR(O30/'Allotted Hours'!$L$10,0)</f>
        <v>0.81952117863720075</v>
      </c>
    </row>
    <row r="31" spans="1:16" x14ac:dyDescent="0.35">
      <c r="A31" s="8">
        <v>26</v>
      </c>
      <c r="B31" s="9" t="s">
        <v>38</v>
      </c>
      <c r="C31" s="8">
        <f>SUM(June!C28:D28,July!C28:D28,August!C28:D28,September!C28:D28,October!C28:D28,November!C28:D28)</f>
        <v>50.5</v>
      </c>
      <c r="D31" s="10">
        <f>IFERROR(C31/('Allotted Hours'!$B$10+'Allotted Hours'!$C$10),0)</f>
        <v>0.83471074380165289</v>
      </c>
      <c r="E31" s="8">
        <f>SUM(June!E28:F28,July!E28:F28,August!E28:F28,September!E28:F28,October!E28:F28,November!E28:F28)</f>
        <v>52</v>
      </c>
      <c r="F31" s="10">
        <f>IFERROR(E31/('Allotted Hours'!$D$10+'Allotted Hours'!$E$10),0)</f>
        <v>0.91228070175438591</v>
      </c>
      <c r="G31" s="8">
        <f>SUM(June!G28:H28,July!G28:H28,August!G28:H28,September!G28:H28,October!G28:H28,November!G28:H28)</f>
        <v>50</v>
      </c>
      <c r="H31" s="10">
        <f>IFERROR(G31/('Allotted Hours'!$F$10+'Allotted Hours'!$G$10),0)</f>
        <v>0.81967213114754101</v>
      </c>
      <c r="I31" s="8">
        <f>SUM(June!I28:J28,July!I28:J28,August!I28:J28,September!I28:J28,October!I28:J28,November!I28:J28)</f>
        <v>52</v>
      </c>
      <c r="J31" s="10">
        <f>IFERROR(I31/('Allotted Hours'!$H$10+'Allotted Hours'!$I$10),0)</f>
        <v>0.91228070175438591</v>
      </c>
      <c r="K31" s="8">
        <f>SUM(June!K28,July!K28,August!K28,September!K28,October!K28,November!K28)</f>
        <v>17</v>
      </c>
      <c r="L31" s="10">
        <f>IFERROR(K31/'Allotted Hours'!$J$10,0)</f>
        <v>0.85</v>
      </c>
      <c r="M31" s="8">
        <f>SUM(June!L28,July!L28,August!L28,September!L28,October!L28,November!L28)</f>
        <v>15</v>
      </c>
      <c r="N31" s="10">
        <f>IFERROR(M31/'Allotted Hours'!$K$10,0)</f>
        <v>0.9375</v>
      </c>
      <c r="O31" s="8">
        <f>SUM(C31,E31,G31,I31,K31,M31)</f>
        <v>236.5</v>
      </c>
      <c r="P31" s="10">
        <f>IFERROR(O31/'Allotted Hours'!$L$10,0)</f>
        <v>0.87108655616942909</v>
      </c>
    </row>
    <row r="32" spans="1:16" x14ac:dyDescent="0.35">
      <c r="A32" s="8">
        <v>27</v>
      </c>
      <c r="B32" s="9" t="s">
        <v>39</v>
      </c>
      <c r="C32" s="8">
        <f>SUM(June!C29:D29,July!C29:D29,August!C29:D29,September!C29:D29,October!C29:D29,November!C29:D29)</f>
        <v>58.5</v>
      </c>
      <c r="D32" s="10">
        <f>IFERROR(C32/('Allotted Hours'!$B$10+'Allotted Hours'!$C$10),0)</f>
        <v>0.96694214876033058</v>
      </c>
      <c r="E32" s="8">
        <f>SUM(June!E29:F29,July!E29:F29,August!E29:F29,September!E29:F29,October!E29:F29,November!E29:F29)</f>
        <v>55</v>
      </c>
      <c r="F32" s="10">
        <f>IFERROR(E32/('Allotted Hours'!$D$10+'Allotted Hours'!$E$10),0)</f>
        <v>0.96491228070175439</v>
      </c>
      <c r="G32" s="8">
        <f>SUM(June!G29:H29,July!G29:H29,August!G29:H29,September!G29:H29,October!G29:H29,November!G29:H29)</f>
        <v>57</v>
      </c>
      <c r="H32" s="10">
        <f>IFERROR(G32/('Allotted Hours'!$F$10+'Allotted Hours'!$G$10),0)</f>
        <v>0.93442622950819676</v>
      </c>
      <c r="I32" s="8">
        <f>SUM(June!I29:J29,July!I29:J29,August!I29:J29,September!I29:J29,October!I29:J29,November!I29:J29)</f>
        <v>55</v>
      </c>
      <c r="J32" s="10">
        <f>IFERROR(I32/('Allotted Hours'!$H$10+'Allotted Hours'!$I$10),0)</f>
        <v>0.96491228070175439</v>
      </c>
      <c r="K32" s="8">
        <f>SUM(June!K29,July!K29,August!K29,September!K29,October!K29,November!K29)</f>
        <v>19</v>
      </c>
      <c r="L32" s="10">
        <f>IFERROR(K32/'Allotted Hours'!$J$10,0)</f>
        <v>0.95</v>
      </c>
      <c r="M32" s="8">
        <f>SUM(June!L29,July!L29,August!L29,September!L29,October!L29,November!L29)</f>
        <v>14</v>
      </c>
      <c r="N32" s="10">
        <f>IFERROR(M32/'Allotted Hours'!$K$10,0)</f>
        <v>0.875</v>
      </c>
      <c r="O32" s="8">
        <f>SUM(C32,E32,G32,I32,K32,M32)</f>
        <v>258.5</v>
      </c>
      <c r="P32" s="10">
        <f>IFERROR(O32/'Allotted Hours'!$L$10,0)</f>
        <v>0.95211786372007368</v>
      </c>
    </row>
    <row r="33" spans="1:16" x14ac:dyDescent="0.35">
      <c r="A33" s="8">
        <v>28</v>
      </c>
      <c r="B33" s="9" t="s">
        <v>40</v>
      </c>
      <c r="C33" s="8">
        <f>SUM(June!C30:D30,July!C30:D30,August!C30:D30,September!C30:D30,October!C30:D30,November!C30:D30)</f>
        <v>54.5</v>
      </c>
      <c r="D33" s="10">
        <f>IFERROR(C33/('Allotted Hours'!$B$10+'Allotted Hours'!$C$10),0)</f>
        <v>0.90082644628099173</v>
      </c>
      <c r="E33" s="8">
        <f>SUM(June!E30:F30,July!E30:F30,August!E30:F30,September!E30:F30,October!E30:F30,November!E30:F30)</f>
        <v>48</v>
      </c>
      <c r="F33" s="10">
        <f>IFERROR(E33/('Allotted Hours'!$D$10+'Allotted Hours'!$E$10),0)</f>
        <v>0.84210526315789469</v>
      </c>
      <c r="G33" s="8">
        <f>SUM(June!G30:H30,July!G30:H30,August!G30:H30,September!G30:H30,October!G30:H30,November!G30:H30)</f>
        <v>57</v>
      </c>
      <c r="H33" s="10">
        <f>IFERROR(G33/('Allotted Hours'!$F$10+'Allotted Hours'!$G$10),0)</f>
        <v>0.93442622950819676</v>
      </c>
      <c r="I33" s="8">
        <f>SUM(June!I30:J30,July!I30:J30,August!I30:J30,September!I30:J30,October!I30:J30,November!I30:J30)</f>
        <v>52</v>
      </c>
      <c r="J33" s="10">
        <f>IFERROR(I33/('Allotted Hours'!$H$10+'Allotted Hours'!$I$10),0)</f>
        <v>0.91228070175438591</v>
      </c>
      <c r="K33" s="8">
        <f>SUM(June!K30,July!K30,August!K30,September!K30,October!K30,November!K30)</f>
        <v>17</v>
      </c>
      <c r="L33" s="10">
        <f>IFERROR(K33/'Allotted Hours'!$J$10,0)</f>
        <v>0.85</v>
      </c>
      <c r="M33" s="8">
        <f>SUM(June!L30,July!L30,August!L30,September!L30,October!L30,November!L30)</f>
        <v>13</v>
      </c>
      <c r="N33" s="10">
        <f>IFERROR(M33/'Allotted Hours'!$K$10,0)</f>
        <v>0.8125</v>
      </c>
      <c r="O33" s="8">
        <f>SUM(C33,E33,G33,I33,K33,M33)</f>
        <v>241.5</v>
      </c>
      <c r="P33" s="10">
        <f>IFERROR(O33/'Allotted Hours'!$L$10,0)</f>
        <v>0.88950276243093918</v>
      </c>
    </row>
    <row r="34" spans="1:16" x14ac:dyDescent="0.35">
      <c r="A34" s="8">
        <v>29</v>
      </c>
      <c r="B34" s="9" t="s">
        <v>41</v>
      </c>
      <c r="C34" s="8">
        <f>SUM(June!C31:D31,July!C31:D31,August!C31:D31,September!C31:D31,October!C31:D31,November!C31:D31)</f>
        <v>53</v>
      </c>
      <c r="D34" s="10">
        <f>IFERROR(C34/('Allotted Hours'!$B$10+'Allotted Hours'!$C$10),0)</f>
        <v>0.87603305785123964</v>
      </c>
      <c r="E34" s="8">
        <f>SUM(June!E31:F31,July!E31:F31,August!E31:F31,September!E31:F31,October!E31:F31,November!E31:F31)</f>
        <v>54</v>
      </c>
      <c r="F34" s="10">
        <f>IFERROR(E34/('Allotted Hours'!$D$10+'Allotted Hours'!$E$10),0)</f>
        <v>0.94736842105263153</v>
      </c>
      <c r="G34" s="8">
        <f>SUM(June!G31:H31,July!G31:H31,August!G31:H31,September!G31:H31,October!G31:H31,November!G31:H31)</f>
        <v>53</v>
      </c>
      <c r="H34" s="10">
        <f>IFERROR(G34/('Allotted Hours'!$F$10+'Allotted Hours'!$G$10),0)</f>
        <v>0.86885245901639341</v>
      </c>
      <c r="I34" s="8">
        <f>SUM(June!I31:J31,July!I31:J31,August!I31:J31,September!I31:J31,October!I31:J31,November!I31:J31)</f>
        <v>51</v>
      </c>
      <c r="J34" s="10">
        <f>IFERROR(I34/('Allotted Hours'!$H$10+'Allotted Hours'!$I$10),0)</f>
        <v>0.89473684210526316</v>
      </c>
      <c r="K34" s="8">
        <f>SUM(June!K31,July!K31,August!K31,September!K31,October!K31,November!K31)</f>
        <v>17</v>
      </c>
      <c r="L34" s="10">
        <f>IFERROR(K34/'Allotted Hours'!$J$10,0)</f>
        <v>0.85</v>
      </c>
      <c r="M34" s="8">
        <f>SUM(June!L31,July!L31,August!L31,September!L31,October!L31,November!L31)</f>
        <v>15</v>
      </c>
      <c r="N34" s="10">
        <f>IFERROR(M34/'Allotted Hours'!$K$10,0)</f>
        <v>0.9375</v>
      </c>
      <c r="O34" s="8">
        <f>SUM(C34,E34,G34,I34,K34,M34)</f>
        <v>243</v>
      </c>
      <c r="P34" s="10">
        <f>IFERROR(O34/'Allotted Hours'!$L$10,0)</f>
        <v>0.89502762430939231</v>
      </c>
    </row>
    <row r="35" spans="1:16" x14ac:dyDescent="0.35">
      <c r="A35" s="8">
        <v>30</v>
      </c>
      <c r="B35" s="9" t="s">
        <v>42</v>
      </c>
      <c r="C35" s="8">
        <f>SUM(June!C32:D32,July!C32:D32,August!C32:D32,September!C32:D32,October!C32:D32,November!C32:D32)</f>
        <v>52.5</v>
      </c>
      <c r="D35" s="10">
        <f>IFERROR(C35/('Allotted Hours'!$B$10+'Allotted Hours'!$C$10),0)</f>
        <v>0.86776859504132231</v>
      </c>
      <c r="E35" s="8">
        <f>SUM(June!E32:F32,July!E32:F32,August!E32:F32,September!E32:F32,October!E32:F32,November!E32:F32)</f>
        <v>51</v>
      </c>
      <c r="F35" s="10">
        <f>IFERROR(E35/('Allotted Hours'!$D$10+'Allotted Hours'!$E$10),0)</f>
        <v>0.89473684210526316</v>
      </c>
      <c r="G35" s="8">
        <f>SUM(June!G32:H32,July!G32:H32,August!G32:H32,September!G32:H32,October!G32:H32,November!G32:H32)</f>
        <v>53</v>
      </c>
      <c r="H35" s="10">
        <f>IFERROR(G35/('Allotted Hours'!$F$10+'Allotted Hours'!$G$10),0)</f>
        <v>0.86885245901639341</v>
      </c>
      <c r="I35" s="8">
        <f>SUM(June!I32:J32,July!I32:J32,August!I32:J32,September!I32:J32,October!I32:J32,November!I32:J32)</f>
        <v>52</v>
      </c>
      <c r="J35" s="10">
        <f>IFERROR(I35/('Allotted Hours'!$H$10+'Allotted Hours'!$I$10),0)</f>
        <v>0.91228070175438591</v>
      </c>
      <c r="K35" s="8">
        <f>SUM(June!K32,July!K32,August!K32,September!K32,October!K32,November!K32)</f>
        <v>17</v>
      </c>
      <c r="L35" s="10">
        <f>IFERROR(K35/'Allotted Hours'!$J$10,0)</f>
        <v>0.85</v>
      </c>
      <c r="M35" s="8">
        <f>SUM(June!L32,July!L32,August!L32,September!L32,October!L32,November!L32)</f>
        <v>16</v>
      </c>
      <c r="N35" s="10">
        <f>IFERROR(M35/'Allotted Hours'!$K$10,0)</f>
        <v>1</v>
      </c>
      <c r="O35" s="8">
        <f>SUM(C35,E35,G35,I35,K35,M35)</f>
        <v>241.5</v>
      </c>
      <c r="P35" s="10">
        <f>IFERROR(O35/'Allotted Hours'!$L$10,0)</f>
        <v>0.88950276243093918</v>
      </c>
    </row>
    <row r="36" spans="1:16" x14ac:dyDescent="0.35">
      <c r="A36" s="8">
        <v>31</v>
      </c>
      <c r="B36" s="9" t="s">
        <v>43</v>
      </c>
      <c r="C36" s="8">
        <f>SUM(June!C33:D33,July!C33:D33,August!C33:D33,September!C33:D33,October!C33:D33,November!C33:D33)</f>
        <v>51.5</v>
      </c>
      <c r="D36" s="10">
        <f>IFERROR(C36/('Allotted Hours'!$B$10+'Allotted Hours'!$C$10),0)</f>
        <v>0.85123966942148765</v>
      </c>
      <c r="E36" s="8">
        <f>SUM(June!E33:F33,July!E33:F33,August!E33:F33,September!E33:F33,October!E33:F33,November!E33:F33)</f>
        <v>47</v>
      </c>
      <c r="F36" s="10">
        <f>IFERROR(E36/('Allotted Hours'!$D$10+'Allotted Hours'!$E$10),0)</f>
        <v>0.82456140350877194</v>
      </c>
      <c r="G36" s="8">
        <f>SUM(June!G33:H33,July!G33:H33,August!G33:H33,September!G33:H33,October!G33:H33,November!G33:H33)</f>
        <v>48</v>
      </c>
      <c r="H36" s="10">
        <f>IFERROR(G36/('Allotted Hours'!$F$10+'Allotted Hours'!$G$10),0)</f>
        <v>0.78688524590163933</v>
      </c>
      <c r="I36" s="8">
        <f>SUM(June!I33:J33,July!I33:J33,August!I33:J33,September!I33:J33,October!I33:J33,November!I33:J33)</f>
        <v>50</v>
      </c>
      <c r="J36" s="10">
        <f>IFERROR(I36/('Allotted Hours'!$H$10+'Allotted Hours'!$I$10),0)</f>
        <v>0.8771929824561403</v>
      </c>
      <c r="K36" s="8">
        <f>SUM(June!K33,July!K33,August!K33,September!K33,October!K33,November!K33)</f>
        <v>16</v>
      </c>
      <c r="L36" s="10">
        <f>IFERROR(K36/'Allotted Hours'!$J$10,0)</f>
        <v>0.8</v>
      </c>
      <c r="M36" s="8">
        <f>SUM(June!L33,July!L33,August!L33,September!L33,October!L33,November!L33)</f>
        <v>13</v>
      </c>
      <c r="N36" s="10">
        <f>IFERROR(M36/'Allotted Hours'!$K$10,0)</f>
        <v>0.8125</v>
      </c>
      <c r="O36" s="8">
        <f>SUM(C36,E36,G36,I36,K36,M36)</f>
        <v>225.5</v>
      </c>
      <c r="P36" s="10">
        <f>IFERROR(O36/'Allotted Hours'!$L$10,0)</f>
        <v>0.8305709023941068</v>
      </c>
    </row>
    <row r="37" spans="1:16" x14ac:dyDescent="0.35">
      <c r="A37" s="8">
        <v>32</v>
      </c>
      <c r="B37" s="9" t="s">
        <v>44</v>
      </c>
      <c r="C37" s="8">
        <f>SUM(June!C34:D34,July!C34:D34,August!C34:D34,September!C34:D34,October!C34:D34,November!C34:D34)</f>
        <v>53.5</v>
      </c>
      <c r="D37" s="10">
        <f>IFERROR(C37/('Allotted Hours'!$B$10+'Allotted Hours'!$C$10),0)</f>
        <v>0.88429752066115708</v>
      </c>
      <c r="E37" s="8">
        <f>SUM(June!E34:F34,July!E34:F34,August!E34:F34,September!E34:F34,October!E34:F34,November!E34:F34)</f>
        <v>52</v>
      </c>
      <c r="F37" s="10">
        <f>IFERROR(E37/('Allotted Hours'!$D$10+'Allotted Hours'!$E$10),0)</f>
        <v>0.91228070175438591</v>
      </c>
      <c r="G37" s="8">
        <f>SUM(June!G34:H34,July!G34:H34,August!G34:H34,September!G34:H34,October!G34:H34,November!G34:H34)</f>
        <v>53</v>
      </c>
      <c r="H37" s="10">
        <f>IFERROR(G37/('Allotted Hours'!$F$10+'Allotted Hours'!$G$10),0)</f>
        <v>0.86885245901639341</v>
      </c>
      <c r="I37" s="8">
        <f>SUM(June!I34:J34,July!I34:J34,August!I34:J34,September!I34:J34,October!I34:J34,November!I34:J34)</f>
        <v>55</v>
      </c>
      <c r="J37" s="10">
        <f>IFERROR(I37/('Allotted Hours'!$H$10+'Allotted Hours'!$I$10),0)</f>
        <v>0.96491228070175439</v>
      </c>
      <c r="K37" s="8">
        <f>SUM(June!K34,July!K34,August!K34,September!K34,October!K34,November!K34)</f>
        <v>17</v>
      </c>
      <c r="L37" s="10">
        <f>IFERROR(K37/'Allotted Hours'!$J$10,0)</f>
        <v>0.85</v>
      </c>
      <c r="M37" s="8">
        <f>SUM(June!L34,July!L34,August!L34,September!L34,October!L34,November!L34)</f>
        <v>15</v>
      </c>
      <c r="N37" s="10">
        <f>IFERROR(M37/'Allotted Hours'!$K$10,0)</f>
        <v>0.9375</v>
      </c>
      <c r="O37" s="8">
        <f>SUM(C37,E37,G37,I37,K37,M37)</f>
        <v>245.5</v>
      </c>
      <c r="P37" s="10">
        <f>IFERROR(O37/'Allotted Hours'!$L$10,0)</f>
        <v>0.90423572744014735</v>
      </c>
    </row>
    <row r="38" spans="1:16" x14ac:dyDescent="0.35">
      <c r="A38" s="8">
        <v>33</v>
      </c>
      <c r="B38" s="9" t="s">
        <v>45</v>
      </c>
      <c r="C38" s="8">
        <f>SUM(June!C35:D35,July!C35:D35,August!C35:D35,September!C35:D35,October!C35:D35,November!C35:D35)</f>
        <v>53.5</v>
      </c>
      <c r="D38" s="10">
        <f>IFERROR(C38/('Allotted Hours'!$B$10+'Allotted Hours'!$C$10),0)</f>
        <v>0.88429752066115708</v>
      </c>
      <c r="E38" s="8">
        <f>SUM(June!E35:F35,July!E35:F35,August!E35:F35,September!E35:F35,October!E35:F35,November!E35:F35)</f>
        <v>50</v>
      </c>
      <c r="F38" s="10">
        <f>IFERROR(E38/('Allotted Hours'!$D$10+'Allotted Hours'!$E$10),0)</f>
        <v>0.8771929824561403</v>
      </c>
      <c r="G38" s="8">
        <f>SUM(June!G35:H35,July!G35:H35,August!G35:H35,September!G35:H35,October!G35:H35,November!G35:H35)</f>
        <v>55</v>
      </c>
      <c r="H38" s="10">
        <f>IFERROR(G38/('Allotted Hours'!$F$10+'Allotted Hours'!$G$10),0)</f>
        <v>0.90163934426229508</v>
      </c>
      <c r="I38" s="8">
        <f>SUM(June!I35:J35,July!I35:J35,August!I35:J35,September!I35:J35,October!I35:J35,November!I35:J35)</f>
        <v>54</v>
      </c>
      <c r="J38" s="10">
        <f>IFERROR(I38/('Allotted Hours'!$H$10+'Allotted Hours'!$I$10),0)</f>
        <v>0.94736842105263153</v>
      </c>
      <c r="K38" s="8">
        <f>SUM(June!K35,July!K35,August!K35,September!K35,October!K35,November!K35)</f>
        <v>19</v>
      </c>
      <c r="L38" s="10">
        <f>IFERROR(K38/'Allotted Hours'!$J$10,0)</f>
        <v>0.95</v>
      </c>
      <c r="M38" s="8">
        <f>SUM(June!L35,July!L35,August!L35,September!L35,October!L35,November!L35)</f>
        <v>16</v>
      </c>
      <c r="N38" s="10">
        <f>IFERROR(M38/'Allotted Hours'!$K$10,0)</f>
        <v>1</v>
      </c>
      <c r="O38" s="8">
        <f>SUM(C38,E38,G38,I38,K38,M38)</f>
        <v>247.5</v>
      </c>
      <c r="P38" s="10">
        <f>IFERROR(O38/'Allotted Hours'!$L$10,0)</f>
        <v>0.91160220994475138</v>
      </c>
    </row>
    <row r="39" spans="1:16" x14ac:dyDescent="0.35">
      <c r="A39" s="8">
        <v>34</v>
      </c>
      <c r="B39" s="9" t="s">
        <v>46</v>
      </c>
      <c r="C39" s="8">
        <f>SUM(June!C36:D36,July!C36:D36,August!C36:D36,September!C36:D36,October!C36:D36,November!C36:D36)</f>
        <v>53.5</v>
      </c>
      <c r="D39" s="10">
        <f>IFERROR(C39/('Allotted Hours'!$B$10+'Allotted Hours'!$C$10),0)</f>
        <v>0.88429752066115708</v>
      </c>
      <c r="E39" s="8">
        <f>SUM(June!E36:F36,July!E36:F36,August!E36:F36,September!E36:F36,October!E36:F36,November!E36:F36)</f>
        <v>56</v>
      </c>
      <c r="F39" s="10">
        <f>IFERROR(E39/('Allotted Hours'!$D$10+'Allotted Hours'!$E$10),0)</f>
        <v>0.98245614035087714</v>
      </c>
      <c r="G39" s="8">
        <f>SUM(June!G36:H36,July!G36:H36,August!G36:H36,September!G36:H36,October!G36:H36,November!G36:H36)</f>
        <v>54</v>
      </c>
      <c r="H39" s="10">
        <f>IFERROR(G39/('Allotted Hours'!$F$10+'Allotted Hours'!$G$10),0)</f>
        <v>0.88524590163934425</v>
      </c>
      <c r="I39" s="8">
        <f>SUM(June!I36:J36,July!I36:J36,August!I36:J36,September!I36:J36,October!I36:J36,November!I36:J36)</f>
        <v>52</v>
      </c>
      <c r="J39" s="10">
        <f>IFERROR(I39/('Allotted Hours'!$H$10+'Allotted Hours'!$I$10),0)</f>
        <v>0.91228070175438591</v>
      </c>
      <c r="K39" s="8">
        <f>SUM(June!K36,July!K36,August!K36,September!K36,October!K36,November!K36)</f>
        <v>19</v>
      </c>
      <c r="L39" s="10">
        <f>IFERROR(K39/'Allotted Hours'!$J$10,0)</f>
        <v>0.95</v>
      </c>
      <c r="M39" s="8">
        <f>SUM(June!L36,July!L36,August!L36,September!L36,October!L36,November!L36)</f>
        <v>16</v>
      </c>
      <c r="N39" s="10">
        <f>IFERROR(M39/'Allotted Hours'!$K$10,0)</f>
        <v>1</v>
      </c>
      <c r="O39" s="8">
        <f>SUM(C39,E39,G39,I39,K39,M39)</f>
        <v>250.5</v>
      </c>
      <c r="P39" s="10">
        <f>IFERROR(O39/'Allotted Hours'!$L$10,0)</f>
        <v>0.92265193370165743</v>
      </c>
    </row>
    <row r="40" spans="1:16" x14ac:dyDescent="0.35">
      <c r="A40" s="8">
        <v>35</v>
      </c>
      <c r="B40" s="9" t="s">
        <v>47</v>
      </c>
      <c r="C40" s="8">
        <f>SUM(June!C37:D37,July!C37:D37,August!C37:D37,September!C37:D37,October!C37:D37,November!C37:D37)</f>
        <v>54.5</v>
      </c>
      <c r="D40" s="10">
        <f>IFERROR(C40/('Allotted Hours'!$B$10+'Allotted Hours'!$C$10),0)</f>
        <v>0.90082644628099173</v>
      </c>
      <c r="E40" s="8">
        <f>SUM(June!E37:F37,July!E37:F37,August!E37:F37,September!E37:F37,October!E37:F37,November!E37:F37)</f>
        <v>51</v>
      </c>
      <c r="F40" s="10">
        <f>IFERROR(E40/('Allotted Hours'!$D$10+'Allotted Hours'!$E$10),0)</f>
        <v>0.89473684210526316</v>
      </c>
      <c r="G40" s="8">
        <f>SUM(June!G37:H37,July!G37:H37,August!G37:H37,September!G37:H37,October!G37:H37,November!G37:H37)</f>
        <v>55</v>
      </c>
      <c r="H40" s="10">
        <f>IFERROR(G40/('Allotted Hours'!$F$10+'Allotted Hours'!$G$10),0)</f>
        <v>0.90163934426229508</v>
      </c>
      <c r="I40" s="8">
        <f>SUM(June!I37:J37,July!I37:J37,August!I37:J37,September!I37:J37,October!I37:J37,November!I37:J37)</f>
        <v>56</v>
      </c>
      <c r="J40" s="10">
        <f>IFERROR(I40/('Allotted Hours'!$H$10+'Allotted Hours'!$I$10),0)</f>
        <v>0.98245614035087714</v>
      </c>
      <c r="K40" s="8">
        <f>SUM(June!K37,July!K37,August!K37,September!K37,October!K37,November!K37)</f>
        <v>17</v>
      </c>
      <c r="L40" s="10">
        <f>IFERROR(K40/'Allotted Hours'!$J$10,0)</f>
        <v>0.85</v>
      </c>
      <c r="M40" s="8">
        <f>SUM(June!L37,July!L37,August!L37,September!L37,October!L37,November!L37)</f>
        <v>15</v>
      </c>
      <c r="N40" s="10">
        <f>IFERROR(M40/'Allotted Hours'!$K$10,0)</f>
        <v>0.9375</v>
      </c>
      <c r="O40" s="8">
        <f>SUM(C40,E40,G40,I40,K40,M40)</f>
        <v>248.5</v>
      </c>
      <c r="P40" s="10">
        <f>IFERROR(O40/'Allotted Hours'!$L$10,0)</f>
        <v>0.9152854511970534</v>
      </c>
    </row>
    <row r="41" spans="1:16" x14ac:dyDescent="0.35">
      <c r="A41" s="8">
        <v>36</v>
      </c>
      <c r="B41" s="9" t="s">
        <v>48</v>
      </c>
      <c r="C41" s="8">
        <f>SUM(June!C38:D38,July!C38:D38,August!C38:D38,September!C38:D38,October!C38:D38,November!C38:D38)</f>
        <v>55.5</v>
      </c>
      <c r="D41" s="10">
        <f>IFERROR(C41/('Allotted Hours'!$B$10+'Allotted Hours'!$C$10),0)</f>
        <v>0.9173553719008265</v>
      </c>
      <c r="E41" s="8">
        <f>SUM(June!E38:F38,July!E38:F38,August!E38:F38,September!E38:F38,October!E38:F38,November!E38:F38)</f>
        <v>54</v>
      </c>
      <c r="F41" s="10">
        <f>IFERROR(E41/('Allotted Hours'!$D$10+'Allotted Hours'!$E$10),0)</f>
        <v>0.94736842105263153</v>
      </c>
      <c r="G41" s="8">
        <f>SUM(June!G38:H38,July!G38:H38,August!G38:H38,September!G38:H38,October!G38:H38,November!G38:H38)</f>
        <v>53</v>
      </c>
      <c r="H41" s="10">
        <f>IFERROR(G41/('Allotted Hours'!$F$10+'Allotted Hours'!$G$10),0)</f>
        <v>0.86885245901639341</v>
      </c>
      <c r="I41" s="8">
        <f>SUM(June!I38:J38,July!I38:J38,August!I38:J38,September!I38:J38,October!I38:J38,November!I38:J38)</f>
        <v>52</v>
      </c>
      <c r="J41" s="10">
        <f>IFERROR(I41/('Allotted Hours'!$H$10+'Allotted Hours'!$I$10),0)</f>
        <v>0.91228070175438591</v>
      </c>
      <c r="K41" s="8">
        <f>SUM(June!K38,July!K38,August!K38,September!K38,October!K38,November!K38)</f>
        <v>14</v>
      </c>
      <c r="L41" s="10">
        <f>IFERROR(K41/'Allotted Hours'!$J$10,0)</f>
        <v>0.7</v>
      </c>
      <c r="M41" s="8">
        <f>SUM(June!L38,July!L38,August!L38,September!L38,October!L38,November!L38)</f>
        <v>16</v>
      </c>
      <c r="N41" s="10">
        <f>IFERROR(M41/'Allotted Hours'!$K$10,0)</f>
        <v>1</v>
      </c>
      <c r="O41" s="8">
        <f>SUM(C41,E41,G41,I41,K41,M41)</f>
        <v>244.5</v>
      </c>
      <c r="P41" s="10">
        <f>IFERROR(O41/'Allotted Hours'!$L$10,0)</f>
        <v>0.90055248618784534</v>
      </c>
    </row>
    <row r="42" spans="1:16" x14ac:dyDescent="0.35">
      <c r="A42" s="8">
        <v>37</v>
      </c>
      <c r="B42" s="9" t="s">
        <v>49</v>
      </c>
      <c r="C42" s="8">
        <f>SUM(June!C39:D39,July!C39:D39,August!C39:D39,September!C39:D39,October!C39:D39,November!C39:D39)</f>
        <v>46.5</v>
      </c>
      <c r="D42" s="10">
        <f>IFERROR(C42/('Allotted Hours'!$B$10+'Allotted Hours'!$C$10),0)</f>
        <v>0.76859504132231404</v>
      </c>
      <c r="E42" s="8">
        <f>SUM(June!E39:F39,July!E39:F39,August!E39:F39,September!E39:F39,October!E39:F39,November!E39:F39)</f>
        <v>47</v>
      </c>
      <c r="F42" s="10">
        <f>IFERROR(E42/('Allotted Hours'!$D$10+'Allotted Hours'!$E$10),0)</f>
        <v>0.82456140350877194</v>
      </c>
      <c r="G42" s="8">
        <f>SUM(June!G39:H39,July!G39:H39,August!G39:H39,September!G39:H39,October!G39:H39,November!G39:H39)</f>
        <v>49</v>
      </c>
      <c r="H42" s="10">
        <f>IFERROR(G42/('Allotted Hours'!$F$10+'Allotted Hours'!$G$10),0)</f>
        <v>0.80327868852459017</v>
      </c>
      <c r="I42" s="8">
        <f>SUM(June!I39:J39,July!I39:J39,August!I39:J39,September!I39:J39,October!I39:J39,November!I39:J39)</f>
        <v>47</v>
      </c>
      <c r="J42" s="10">
        <f>IFERROR(I42/('Allotted Hours'!$H$10+'Allotted Hours'!$I$10),0)</f>
        <v>0.82456140350877194</v>
      </c>
      <c r="K42" s="8">
        <f>SUM(June!K39,July!K39,August!K39,September!K39,October!K39,November!K39)</f>
        <v>14</v>
      </c>
      <c r="L42" s="10">
        <f>IFERROR(K42/'Allotted Hours'!$J$10,0)</f>
        <v>0.7</v>
      </c>
      <c r="M42" s="8">
        <f>SUM(June!L39,July!L39,August!L39,September!L39,October!L39,November!L39)</f>
        <v>14</v>
      </c>
      <c r="N42" s="10">
        <f>IFERROR(M42/'Allotted Hours'!$K$10,0)</f>
        <v>0.875</v>
      </c>
      <c r="O42" s="8">
        <f>SUM(C42,E42,G42,I42,K42,M42)</f>
        <v>217.5</v>
      </c>
      <c r="P42" s="10">
        <f>IFERROR(O42/'Allotted Hours'!$L$10,0)</f>
        <v>0.80110497237569056</v>
      </c>
    </row>
    <row r="43" spans="1:16" x14ac:dyDescent="0.35">
      <c r="A43" s="8">
        <v>38</v>
      </c>
      <c r="B43" s="9" t="s">
        <v>50</v>
      </c>
      <c r="C43" s="8">
        <f>SUM(June!C40:D40,July!C40:D40,August!C40:D40,September!C40:D40,October!C40:D40,November!C40:D40)</f>
        <v>55.5</v>
      </c>
      <c r="D43" s="10">
        <f>IFERROR(C43/('Allotted Hours'!$B$10+'Allotted Hours'!$C$10),0)</f>
        <v>0.9173553719008265</v>
      </c>
      <c r="E43" s="8">
        <f>SUM(June!E40:F40,July!E40:F40,August!E40:F40,September!E40:F40,October!E40:F40,November!E40:F40)</f>
        <v>52</v>
      </c>
      <c r="F43" s="10">
        <f>IFERROR(E43/('Allotted Hours'!$D$10+'Allotted Hours'!$E$10),0)</f>
        <v>0.91228070175438591</v>
      </c>
      <c r="G43" s="8">
        <f>SUM(June!G40:H40,July!G40:H40,August!G40:H40,September!G40:H40,October!G40:H40,November!G40:H40)</f>
        <v>57</v>
      </c>
      <c r="H43" s="10">
        <f>IFERROR(G43/('Allotted Hours'!$F$10+'Allotted Hours'!$G$10),0)</f>
        <v>0.93442622950819676</v>
      </c>
      <c r="I43" s="8">
        <f>SUM(June!I40:J40,July!I40:J40,August!I40:J40,September!I40:J40,October!I40:J40,November!I40:J40)</f>
        <v>54</v>
      </c>
      <c r="J43" s="10">
        <f>IFERROR(I43/('Allotted Hours'!$H$10+'Allotted Hours'!$I$10),0)</f>
        <v>0.94736842105263153</v>
      </c>
      <c r="K43" s="8">
        <f>SUM(June!K40,July!K40,August!K40,September!K40,October!K40,November!K40)</f>
        <v>19</v>
      </c>
      <c r="L43" s="10">
        <f>IFERROR(K43/'Allotted Hours'!$J$10,0)</f>
        <v>0.95</v>
      </c>
      <c r="M43" s="8">
        <f>SUM(June!L40,July!L40,August!L40,September!L40,October!L40,November!L40)</f>
        <v>14</v>
      </c>
      <c r="N43" s="10">
        <f>IFERROR(M43/'Allotted Hours'!$K$10,0)</f>
        <v>0.875</v>
      </c>
      <c r="O43" s="8">
        <f>SUM(C43,E43,G43,I43,K43,M43)</f>
        <v>251.5</v>
      </c>
      <c r="P43" s="10">
        <f>IFERROR(O43/'Allotted Hours'!$L$10,0)</f>
        <v>0.92633517495395945</v>
      </c>
    </row>
    <row r="44" spans="1:16" x14ac:dyDescent="0.35">
      <c r="A44" s="8">
        <v>39</v>
      </c>
      <c r="B44" s="9" t="s">
        <v>51</v>
      </c>
      <c r="C44" s="8">
        <f>SUM(June!C41:D41,July!C41:D41,August!C41:D41,September!C41:D41,October!C41:D41,November!C41:D41)</f>
        <v>48.5</v>
      </c>
      <c r="D44" s="10">
        <f>IFERROR(C44/('Allotted Hours'!$B$10+'Allotted Hours'!$C$10),0)</f>
        <v>0.80165289256198347</v>
      </c>
      <c r="E44" s="8">
        <f>SUM(June!E41:F41,July!E41:F41,August!E41:F41,September!E41:F41,October!E41:F41,November!E41:F41)</f>
        <v>53</v>
      </c>
      <c r="F44" s="10">
        <f>IFERROR(E44/('Allotted Hours'!$D$10+'Allotted Hours'!$E$10),0)</f>
        <v>0.92982456140350878</v>
      </c>
      <c r="G44" s="8">
        <f>SUM(June!G41:H41,July!G41:H41,August!G41:H41,September!G41:H41,October!G41:H41,November!G41:H41)</f>
        <v>56</v>
      </c>
      <c r="H44" s="10">
        <f>IFERROR(G44/('Allotted Hours'!$F$10+'Allotted Hours'!$G$10),0)</f>
        <v>0.91803278688524592</v>
      </c>
      <c r="I44" s="8">
        <f>SUM(June!I41:J41,July!I41:J41,August!I41:J41,September!I41:J41,October!I41:J41,November!I41:J41)</f>
        <v>52</v>
      </c>
      <c r="J44" s="10">
        <f>IFERROR(I44/('Allotted Hours'!$H$10+'Allotted Hours'!$I$10),0)</f>
        <v>0.91228070175438591</v>
      </c>
      <c r="K44" s="8">
        <f>SUM(June!K41,July!K41,August!K41,September!K41,October!K41,November!K41)</f>
        <v>18</v>
      </c>
      <c r="L44" s="10">
        <f>IFERROR(K44/'Allotted Hours'!$J$10,0)</f>
        <v>0.9</v>
      </c>
      <c r="M44" s="8">
        <f>SUM(June!L41,July!L41,August!L41,September!L41,October!L41,November!L41)</f>
        <v>16</v>
      </c>
      <c r="N44" s="10">
        <f>IFERROR(M44/'Allotted Hours'!$K$10,0)</f>
        <v>1</v>
      </c>
      <c r="O44" s="8">
        <f>SUM(C44,E44,G44,I44,K44,M44)</f>
        <v>243.5</v>
      </c>
      <c r="P44" s="10">
        <f>IFERROR(O44/'Allotted Hours'!$L$10,0)</f>
        <v>0.89686924493554332</v>
      </c>
    </row>
    <row r="45" spans="1:16" x14ac:dyDescent="0.35">
      <c r="A45" s="8">
        <v>40</v>
      </c>
      <c r="B45" s="9" t="s">
        <v>52</v>
      </c>
      <c r="C45" s="8">
        <f>SUM(June!C42:D42,July!C42:D42,August!C42:D42,September!C42:D42,October!C42:D42,November!C42:D42)</f>
        <v>52.5</v>
      </c>
      <c r="D45" s="10">
        <f>IFERROR(C45/('Allotted Hours'!$B$10+'Allotted Hours'!$C$10),0)</f>
        <v>0.86776859504132231</v>
      </c>
      <c r="E45" s="8">
        <f>SUM(June!E42:F42,July!E42:F42,August!E42:F42,September!E42:F42,October!E42:F42,November!E42:F42)</f>
        <v>49</v>
      </c>
      <c r="F45" s="10">
        <f>IFERROR(E45/('Allotted Hours'!$D$10+'Allotted Hours'!$E$10),0)</f>
        <v>0.85964912280701755</v>
      </c>
      <c r="G45" s="8">
        <f>SUM(June!G42:H42,July!G42:H42,August!G42:H42,September!G42:H42,October!G42:H42,November!G42:H42)</f>
        <v>49</v>
      </c>
      <c r="H45" s="10">
        <f>IFERROR(G45/('Allotted Hours'!$F$10+'Allotted Hours'!$G$10),0)</f>
        <v>0.80327868852459017</v>
      </c>
      <c r="I45" s="8">
        <f>SUM(June!I42:J42,July!I42:J42,August!I42:J42,September!I42:J42,October!I42:J42,November!I42:J42)</f>
        <v>48</v>
      </c>
      <c r="J45" s="10">
        <f>IFERROR(I45/('Allotted Hours'!$H$10+'Allotted Hours'!$I$10),0)</f>
        <v>0.84210526315789469</v>
      </c>
      <c r="K45" s="8">
        <f>SUM(June!K42,July!K42,August!K42,September!K42,October!K42,November!K42)</f>
        <v>15</v>
      </c>
      <c r="L45" s="10">
        <f>IFERROR(K45/'Allotted Hours'!$J$10,0)</f>
        <v>0.75</v>
      </c>
      <c r="M45" s="8">
        <f>SUM(June!L42,July!L42,August!L42,September!L42,October!L42,November!L42)</f>
        <v>15</v>
      </c>
      <c r="N45" s="10">
        <f>IFERROR(M45/'Allotted Hours'!$K$10,0)</f>
        <v>0.9375</v>
      </c>
      <c r="O45" s="8">
        <f>SUM(C45,E45,G45,I45,K45,M45)</f>
        <v>228.5</v>
      </c>
      <c r="P45" s="10">
        <f>IFERROR(O45/'Allotted Hours'!$L$10,0)</f>
        <v>0.84162062615101285</v>
      </c>
    </row>
    <row r="46" spans="1:16" x14ac:dyDescent="0.35">
      <c r="A46" s="8">
        <v>41</v>
      </c>
      <c r="B46" s="9" t="s">
        <v>53</v>
      </c>
      <c r="C46" s="8">
        <f>SUM(June!C43:D43,July!C43:D43,August!C43:D43,September!C43:D43,October!C43:D43,November!C43:D43)</f>
        <v>36.5</v>
      </c>
      <c r="D46" s="10">
        <f>IFERROR(C46/('Allotted Hours'!$B$10+'Allotted Hours'!$C$10),0)</f>
        <v>0.60330578512396693</v>
      </c>
      <c r="E46" s="8">
        <f>SUM(June!E43:F43,July!E43:F43,August!E43:F43,September!E43:F43,October!E43:F43,November!E43:F43)</f>
        <v>30</v>
      </c>
      <c r="F46" s="10">
        <f>IFERROR(E46/('Allotted Hours'!$D$10+'Allotted Hours'!$E$10),0)</f>
        <v>0.52631578947368418</v>
      </c>
      <c r="G46" s="8">
        <f>SUM(June!G43:H43,July!G43:H43,August!G43:H43,September!G43:H43,October!G43:H43,November!G43:H43)</f>
        <v>41</v>
      </c>
      <c r="H46" s="10">
        <f>IFERROR(G46/('Allotted Hours'!$F$10+'Allotted Hours'!$G$10),0)</f>
        <v>0.67213114754098358</v>
      </c>
      <c r="I46" s="8">
        <f>SUM(June!I43:J43,July!I43:J43,August!I43:J43,September!I43:J43,October!I43:J43,November!I43:J43)</f>
        <v>36</v>
      </c>
      <c r="J46" s="10">
        <f>IFERROR(I46/('Allotted Hours'!$H$10+'Allotted Hours'!$I$10),0)</f>
        <v>0.63157894736842102</v>
      </c>
      <c r="K46" s="8">
        <f>SUM(June!K43,July!K43,August!K43,September!K43,October!K43,November!K43)</f>
        <v>13</v>
      </c>
      <c r="L46" s="10">
        <f>IFERROR(K46/'Allotted Hours'!$J$10,0)</f>
        <v>0.65</v>
      </c>
      <c r="M46" s="8">
        <f>SUM(June!L43,July!L43,August!L43,September!L43,October!L43,November!L43)</f>
        <v>12</v>
      </c>
      <c r="N46" s="10">
        <f>IFERROR(M46/'Allotted Hours'!$K$10,0)</f>
        <v>0.75</v>
      </c>
      <c r="O46" s="8">
        <f>SUM(C46,E46,G46,I46,K46,M46)</f>
        <v>168.5</v>
      </c>
      <c r="P46" s="10">
        <f>IFERROR(O46/'Allotted Hours'!$L$10,0)</f>
        <v>0.62062615101289131</v>
      </c>
    </row>
  </sheetData>
  <autoFilter ref="A5:P46" xr:uid="{00000000-0009-0000-0000-000000000000}"/>
  <mergeCells count="12">
    <mergeCell ref="A4:A5"/>
    <mergeCell ref="O4:P4"/>
    <mergeCell ref="A1:P1"/>
    <mergeCell ref="C4:D4"/>
    <mergeCell ref="G4:H4"/>
    <mergeCell ref="E4:F4"/>
    <mergeCell ref="K4:L4"/>
    <mergeCell ref="I4:J4"/>
    <mergeCell ref="M4:N4"/>
    <mergeCell ref="A3:P3"/>
    <mergeCell ref="B4:B5"/>
    <mergeCell ref="A2:P2"/>
  </mergeCells>
  <conditionalFormatting sqref="D6:D46">
    <cfRule type="cellIs" dxfId="35" priority="1" operator="lessThan">
      <formula>0.75</formula>
    </cfRule>
    <cfRule type="cellIs" dxfId="34" priority="2" operator="between">
      <formula>0.75</formula>
      <formula>0.799999</formula>
    </cfRule>
    <cfRule type="cellIs" dxfId="33" priority="3" operator="greaterThanOrEqual">
      <formula>0.8</formula>
    </cfRule>
  </conditionalFormatting>
  <conditionalFormatting sqref="F6:F46">
    <cfRule type="cellIs" dxfId="32" priority="4" operator="lessThan">
      <formula>0.75</formula>
    </cfRule>
    <cfRule type="cellIs" dxfId="31" priority="5" operator="between">
      <formula>0.75</formula>
      <formula>0.799999</formula>
    </cfRule>
    <cfRule type="cellIs" dxfId="30" priority="6" operator="greaterThanOrEqual">
      <formula>0.8</formula>
    </cfRule>
  </conditionalFormatting>
  <conditionalFormatting sqref="H6:H46">
    <cfRule type="cellIs" dxfId="29" priority="7" operator="lessThan">
      <formula>0.75</formula>
    </cfRule>
    <cfRule type="cellIs" dxfId="28" priority="8" operator="between">
      <formula>0.75</formula>
      <formula>0.799999</formula>
    </cfRule>
    <cfRule type="cellIs" dxfId="27" priority="9" operator="greaterThanOrEqual">
      <formula>0.8</formula>
    </cfRule>
  </conditionalFormatting>
  <conditionalFormatting sqref="J6:J46">
    <cfRule type="cellIs" dxfId="26" priority="10" operator="lessThan">
      <formula>0.75</formula>
    </cfRule>
    <cfRule type="cellIs" dxfId="25" priority="11" operator="between">
      <formula>0.75</formula>
      <formula>0.799999</formula>
    </cfRule>
    <cfRule type="cellIs" dxfId="24" priority="12" operator="greaterThanOrEqual">
      <formula>0.8</formula>
    </cfRule>
  </conditionalFormatting>
  <conditionalFormatting sqref="L6:L46">
    <cfRule type="cellIs" dxfId="23" priority="13" operator="lessThan">
      <formula>0.75</formula>
    </cfRule>
    <cfRule type="cellIs" dxfId="22" priority="14" operator="between">
      <formula>0.75</formula>
      <formula>0.799999</formula>
    </cfRule>
    <cfRule type="cellIs" dxfId="21" priority="15" operator="greaterThanOrEqual">
      <formula>0.8</formula>
    </cfRule>
  </conditionalFormatting>
  <conditionalFormatting sqref="N6:N46">
    <cfRule type="cellIs" dxfId="20" priority="16" operator="lessThan">
      <formula>0.75</formula>
    </cfRule>
    <cfRule type="cellIs" dxfId="19" priority="17" operator="between">
      <formula>0.75</formula>
      <formula>0.799999</formula>
    </cfRule>
    <cfRule type="cellIs" dxfId="18" priority="18" operator="greaterThanOrEqual">
      <formula>0.8</formula>
    </cfRule>
  </conditionalFormatting>
  <conditionalFormatting sqref="P6:P46">
    <cfRule type="cellIs" dxfId="17" priority="19" operator="lessThan">
      <formula>0.75</formula>
    </cfRule>
    <cfRule type="cellIs" dxfId="16" priority="20" operator="between">
      <formula>0.75</formula>
      <formula>0.799999</formula>
    </cfRule>
    <cfRule type="cellIs" dxfId="15" priority="21" operator="greaterThanOrEqual">
      <formula>0.8</formula>
    </cfRule>
  </conditionalFormatting>
  <pageMargins left="0.75" right="0.75" top="1" bottom="1" header="0.5" footer="0.5"/>
  <pageSetup fitToHeight="0" orientation="landscape"/>
  <headerFooter>
    <oddFooter>&amp;CStudent-wise cumulative attendance | June-September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showGridLines="0" workbookViewId="0">
      <pane xSplit="2" ySplit="2" topLeftCell="D26" activePane="bottomRight" state="frozen"/>
      <selection pane="topRight"/>
      <selection pane="bottomLeft"/>
      <selection pane="bottomRight" activeCell="A43" sqref="A43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9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2</v>
      </c>
      <c r="B2" s="21" t="s">
        <v>3</v>
      </c>
      <c r="C2" s="21" t="s">
        <v>55</v>
      </c>
      <c r="D2" s="21" t="s">
        <v>56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61</v>
      </c>
      <c r="J2" s="21" t="s">
        <v>62</v>
      </c>
      <c r="K2" s="21" t="s">
        <v>8</v>
      </c>
      <c r="L2" s="21" t="s">
        <v>9</v>
      </c>
    </row>
    <row r="3" spans="1:12" x14ac:dyDescent="0.35">
      <c r="A3" s="30">
        <v>1</v>
      </c>
      <c r="B3" s="30" t="s">
        <v>13</v>
      </c>
      <c r="C3" s="31">
        <v>12.5</v>
      </c>
      <c r="D3" s="31">
        <v>1</v>
      </c>
      <c r="E3" s="31">
        <v>9</v>
      </c>
      <c r="F3" s="31">
        <v>0</v>
      </c>
      <c r="G3" s="31">
        <v>8</v>
      </c>
      <c r="H3" s="31">
        <v>0</v>
      </c>
      <c r="I3" s="31">
        <v>7</v>
      </c>
      <c r="J3" s="31">
        <v>2</v>
      </c>
      <c r="K3" s="31">
        <v>4</v>
      </c>
      <c r="L3" s="31">
        <v>6</v>
      </c>
    </row>
    <row r="4" spans="1:12" x14ac:dyDescent="0.35">
      <c r="A4" s="30">
        <v>2</v>
      </c>
      <c r="B4" s="30" t="s">
        <v>14</v>
      </c>
      <c r="C4" s="31">
        <v>13</v>
      </c>
      <c r="D4" s="31">
        <v>1</v>
      </c>
      <c r="E4" s="31">
        <v>9</v>
      </c>
      <c r="F4" s="31">
        <v>0</v>
      </c>
      <c r="G4" s="31">
        <v>10</v>
      </c>
      <c r="H4" s="31">
        <v>0</v>
      </c>
      <c r="I4" s="31">
        <v>7</v>
      </c>
      <c r="J4" s="31">
        <v>2</v>
      </c>
      <c r="K4" s="31">
        <v>2</v>
      </c>
      <c r="L4" s="31">
        <v>6</v>
      </c>
    </row>
    <row r="5" spans="1:12" x14ac:dyDescent="0.35">
      <c r="A5" s="30">
        <v>3</v>
      </c>
      <c r="B5" s="30" t="s">
        <v>15</v>
      </c>
      <c r="C5" s="31">
        <v>12</v>
      </c>
      <c r="D5" s="31">
        <v>1</v>
      </c>
      <c r="E5" s="31">
        <v>8</v>
      </c>
      <c r="F5" s="31">
        <v>0</v>
      </c>
      <c r="G5" s="31">
        <v>10</v>
      </c>
      <c r="H5" s="31">
        <v>0</v>
      </c>
      <c r="I5" s="31">
        <v>5</v>
      </c>
      <c r="J5" s="31">
        <v>2</v>
      </c>
      <c r="K5" s="31">
        <v>4</v>
      </c>
      <c r="L5" s="31">
        <v>5</v>
      </c>
    </row>
    <row r="6" spans="1:12" x14ac:dyDescent="0.35">
      <c r="A6" s="30">
        <v>4</v>
      </c>
      <c r="B6" s="30" t="s">
        <v>16</v>
      </c>
      <c r="C6" s="31">
        <v>12.5</v>
      </c>
      <c r="D6" s="31">
        <v>1</v>
      </c>
      <c r="E6" s="31">
        <v>9</v>
      </c>
      <c r="F6" s="31">
        <v>0</v>
      </c>
      <c r="G6" s="31">
        <v>8</v>
      </c>
      <c r="H6" s="31">
        <v>0</v>
      </c>
      <c r="I6" s="31">
        <v>7</v>
      </c>
      <c r="J6" s="31">
        <v>2</v>
      </c>
      <c r="K6" s="31">
        <v>2</v>
      </c>
      <c r="L6" s="31">
        <v>6</v>
      </c>
    </row>
    <row r="7" spans="1:12" x14ac:dyDescent="0.35">
      <c r="A7" s="30">
        <v>5</v>
      </c>
      <c r="B7" s="30" t="s">
        <v>17</v>
      </c>
      <c r="C7" s="31">
        <v>7</v>
      </c>
      <c r="D7" s="31">
        <v>1</v>
      </c>
      <c r="E7" s="31">
        <v>4</v>
      </c>
      <c r="F7" s="31">
        <v>0</v>
      </c>
      <c r="G7" s="31">
        <v>4</v>
      </c>
      <c r="H7" s="31">
        <v>0</v>
      </c>
      <c r="I7" s="31">
        <v>4</v>
      </c>
      <c r="J7" s="31">
        <v>2</v>
      </c>
      <c r="K7" s="31">
        <v>2</v>
      </c>
      <c r="L7" s="31">
        <v>4</v>
      </c>
    </row>
    <row r="8" spans="1:12" x14ac:dyDescent="0.35">
      <c r="A8" s="30">
        <v>6</v>
      </c>
      <c r="B8" s="30" t="s">
        <v>18</v>
      </c>
      <c r="C8" s="31">
        <v>13.5</v>
      </c>
      <c r="D8" s="31">
        <v>1</v>
      </c>
      <c r="E8" s="31">
        <v>8</v>
      </c>
      <c r="F8" s="31">
        <v>0</v>
      </c>
      <c r="G8" s="31">
        <v>10</v>
      </c>
      <c r="H8" s="31">
        <v>0</v>
      </c>
      <c r="I8" s="31">
        <v>7</v>
      </c>
      <c r="J8" s="31">
        <v>2</v>
      </c>
      <c r="K8" s="31">
        <v>4</v>
      </c>
      <c r="L8" s="31">
        <v>6</v>
      </c>
    </row>
    <row r="9" spans="1:12" x14ac:dyDescent="0.35">
      <c r="A9" s="30">
        <v>7</v>
      </c>
      <c r="B9" s="30" t="s">
        <v>19</v>
      </c>
      <c r="C9" s="31">
        <v>12.5</v>
      </c>
      <c r="D9" s="31">
        <v>1</v>
      </c>
      <c r="E9" s="31">
        <v>6</v>
      </c>
      <c r="F9" s="31">
        <v>0</v>
      </c>
      <c r="G9" s="31">
        <v>8</v>
      </c>
      <c r="H9" s="31">
        <v>0</v>
      </c>
      <c r="I9" s="31">
        <v>6</v>
      </c>
      <c r="J9" s="31">
        <v>2</v>
      </c>
      <c r="K9" s="31">
        <v>4</v>
      </c>
      <c r="L9" s="31">
        <v>3</v>
      </c>
    </row>
    <row r="10" spans="1:12" x14ac:dyDescent="0.35">
      <c r="A10" s="30">
        <v>8</v>
      </c>
      <c r="B10" s="30" t="s">
        <v>20</v>
      </c>
      <c r="C10" s="31">
        <v>13</v>
      </c>
      <c r="D10" s="31">
        <v>1</v>
      </c>
      <c r="E10" s="31">
        <v>9</v>
      </c>
      <c r="F10" s="31">
        <v>0</v>
      </c>
      <c r="G10" s="31">
        <v>10</v>
      </c>
      <c r="H10" s="31">
        <v>0</v>
      </c>
      <c r="I10" s="31">
        <v>5</v>
      </c>
      <c r="J10" s="31">
        <v>2</v>
      </c>
      <c r="K10" s="31">
        <v>4</v>
      </c>
      <c r="L10" s="31">
        <v>5</v>
      </c>
    </row>
    <row r="11" spans="1:12" x14ac:dyDescent="0.35">
      <c r="A11" s="30">
        <v>9</v>
      </c>
      <c r="B11" s="30" t="s">
        <v>21</v>
      </c>
      <c r="C11" s="31">
        <v>11.5</v>
      </c>
      <c r="D11" s="31">
        <v>0</v>
      </c>
      <c r="E11" s="31">
        <v>7</v>
      </c>
      <c r="F11" s="31">
        <v>0</v>
      </c>
      <c r="G11" s="31">
        <v>10</v>
      </c>
      <c r="H11" s="31">
        <v>0</v>
      </c>
      <c r="I11" s="31">
        <v>7</v>
      </c>
      <c r="J11" s="31">
        <v>2</v>
      </c>
      <c r="K11" s="31">
        <v>3</v>
      </c>
      <c r="L11" s="31">
        <v>4</v>
      </c>
    </row>
    <row r="12" spans="1:12" x14ac:dyDescent="0.35">
      <c r="A12" s="30">
        <v>10</v>
      </c>
      <c r="B12" s="30" t="s">
        <v>22</v>
      </c>
      <c r="C12" s="31">
        <v>14.5</v>
      </c>
      <c r="D12" s="31">
        <v>1</v>
      </c>
      <c r="E12" s="31">
        <v>9</v>
      </c>
      <c r="F12" s="31">
        <v>0</v>
      </c>
      <c r="G12" s="31">
        <v>10</v>
      </c>
      <c r="H12" s="31">
        <v>0</v>
      </c>
      <c r="I12" s="31">
        <v>7</v>
      </c>
      <c r="J12" s="31">
        <v>2</v>
      </c>
      <c r="K12" s="31">
        <v>4</v>
      </c>
      <c r="L12" s="31">
        <v>6</v>
      </c>
    </row>
    <row r="13" spans="1:12" x14ac:dyDescent="0.35">
      <c r="A13" s="30">
        <v>11</v>
      </c>
      <c r="B13" s="30" t="s">
        <v>23</v>
      </c>
      <c r="C13" s="31">
        <v>13.5</v>
      </c>
      <c r="D13" s="31">
        <v>1</v>
      </c>
      <c r="E13" s="31">
        <v>8</v>
      </c>
      <c r="F13" s="31">
        <v>0</v>
      </c>
      <c r="G13" s="31">
        <v>7</v>
      </c>
      <c r="H13" s="31">
        <v>0</v>
      </c>
      <c r="I13" s="31">
        <v>6</v>
      </c>
      <c r="J13" s="31">
        <v>2</v>
      </c>
      <c r="K13" s="31">
        <v>4</v>
      </c>
      <c r="L13" s="31">
        <v>5</v>
      </c>
    </row>
    <row r="14" spans="1:12" x14ac:dyDescent="0.35">
      <c r="A14" s="30">
        <v>12</v>
      </c>
      <c r="B14" s="30" t="s">
        <v>24</v>
      </c>
      <c r="C14" s="31">
        <v>12.5</v>
      </c>
      <c r="D14" s="31">
        <v>1</v>
      </c>
      <c r="E14" s="31">
        <v>7</v>
      </c>
      <c r="F14" s="31">
        <v>0</v>
      </c>
      <c r="G14" s="31">
        <v>10</v>
      </c>
      <c r="H14" s="31">
        <v>0</v>
      </c>
      <c r="I14" s="31">
        <v>7</v>
      </c>
      <c r="J14" s="31">
        <v>2</v>
      </c>
      <c r="K14" s="31">
        <v>4</v>
      </c>
      <c r="L14" s="31">
        <v>4</v>
      </c>
    </row>
    <row r="15" spans="1:12" x14ac:dyDescent="0.35">
      <c r="A15" s="30">
        <v>13</v>
      </c>
      <c r="B15" s="30" t="s">
        <v>25</v>
      </c>
      <c r="C15" s="31">
        <v>14.5</v>
      </c>
      <c r="D15" s="31">
        <v>1</v>
      </c>
      <c r="E15" s="31">
        <v>8</v>
      </c>
      <c r="F15" s="31">
        <v>0</v>
      </c>
      <c r="G15" s="31">
        <v>6</v>
      </c>
      <c r="H15" s="31">
        <v>0</v>
      </c>
      <c r="I15" s="31">
        <v>7</v>
      </c>
      <c r="J15" s="31">
        <v>0</v>
      </c>
      <c r="K15" s="31">
        <v>2</v>
      </c>
      <c r="L15" s="31">
        <v>4</v>
      </c>
    </row>
    <row r="16" spans="1:12" x14ac:dyDescent="0.35">
      <c r="A16" s="30">
        <v>14</v>
      </c>
      <c r="B16" s="30" t="s">
        <v>26</v>
      </c>
      <c r="C16" s="31">
        <v>14.5</v>
      </c>
      <c r="D16" s="31">
        <v>1</v>
      </c>
      <c r="E16" s="31">
        <v>9</v>
      </c>
      <c r="F16" s="31">
        <v>0</v>
      </c>
      <c r="G16" s="31">
        <v>10</v>
      </c>
      <c r="H16" s="31">
        <v>0</v>
      </c>
      <c r="I16" s="31">
        <v>7</v>
      </c>
      <c r="J16" s="31">
        <v>2</v>
      </c>
      <c r="K16" s="31">
        <v>3</v>
      </c>
      <c r="L16" s="31">
        <v>6</v>
      </c>
    </row>
    <row r="17" spans="1:12" x14ac:dyDescent="0.35">
      <c r="A17" s="30">
        <v>15</v>
      </c>
      <c r="B17" s="30" t="s">
        <v>27</v>
      </c>
      <c r="C17" s="31">
        <v>14.5</v>
      </c>
      <c r="D17" s="31">
        <v>1</v>
      </c>
      <c r="E17" s="31">
        <v>9</v>
      </c>
      <c r="F17" s="31">
        <v>0</v>
      </c>
      <c r="G17" s="31">
        <v>8</v>
      </c>
      <c r="H17" s="31">
        <v>0</v>
      </c>
      <c r="I17" s="31">
        <v>7</v>
      </c>
      <c r="J17" s="31">
        <v>2</v>
      </c>
      <c r="K17" s="31">
        <v>2</v>
      </c>
      <c r="L17" s="31">
        <v>6</v>
      </c>
    </row>
    <row r="18" spans="1:12" x14ac:dyDescent="0.35">
      <c r="A18" s="30">
        <v>16</v>
      </c>
      <c r="B18" s="30" t="s">
        <v>28</v>
      </c>
      <c r="C18" s="31">
        <v>14.5</v>
      </c>
      <c r="D18" s="31">
        <v>1</v>
      </c>
      <c r="E18" s="31">
        <v>8</v>
      </c>
      <c r="F18" s="31">
        <v>0</v>
      </c>
      <c r="G18" s="31">
        <v>8</v>
      </c>
      <c r="H18" s="31">
        <v>0</v>
      </c>
      <c r="I18" s="31">
        <v>7</v>
      </c>
      <c r="J18" s="31">
        <v>2</v>
      </c>
      <c r="K18" s="31">
        <v>4</v>
      </c>
      <c r="L18" s="31">
        <v>6</v>
      </c>
    </row>
    <row r="19" spans="1:12" x14ac:dyDescent="0.35">
      <c r="A19" s="30">
        <v>17</v>
      </c>
      <c r="B19" s="30" t="s">
        <v>29</v>
      </c>
      <c r="C19" s="31">
        <v>12.5</v>
      </c>
      <c r="D19" s="31">
        <v>1</v>
      </c>
      <c r="E19" s="31">
        <v>9</v>
      </c>
      <c r="F19" s="31">
        <v>0</v>
      </c>
      <c r="G19" s="31">
        <v>10</v>
      </c>
      <c r="H19" s="31">
        <v>0</v>
      </c>
      <c r="I19" s="31">
        <v>7</v>
      </c>
      <c r="J19" s="31">
        <v>2</v>
      </c>
      <c r="K19" s="31">
        <v>4</v>
      </c>
      <c r="L19" s="31">
        <v>6</v>
      </c>
    </row>
    <row r="20" spans="1:12" x14ac:dyDescent="0.35">
      <c r="A20" s="30">
        <v>18</v>
      </c>
      <c r="B20" s="30" t="s">
        <v>30</v>
      </c>
      <c r="C20" s="31">
        <v>11.5</v>
      </c>
      <c r="D20" s="31">
        <v>1</v>
      </c>
      <c r="E20" s="31">
        <v>7</v>
      </c>
      <c r="F20" s="31">
        <v>0</v>
      </c>
      <c r="G20" s="31">
        <v>4</v>
      </c>
      <c r="H20" s="31">
        <v>0</v>
      </c>
      <c r="I20" s="31">
        <v>4</v>
      </c>
      <c r="J20" s="31">
        <v>2</v>
      </c>
      <c r="K20" s="31">
        <v>2</v>
      </c>
      <c r="L20" s="31">
        <v>4</v>
      </c>
    </row>
    <row r="21" spans="1:12" x14ac:dyDescent="0.35">
      <c r="A21" s="30">
        <v>19</v>
      </c>
      <c r="B21" s="30" t="s">
        <v>31</v>
      </c>
      <c r="C21" s="31">
        <v>13.5</v>
      </c>
      <c r="D21" s="31">
        <v>1</v>
      </c>
      <c r="E21" s="31">
        <v>8</v>
      </c>
      <c r="F21" s="31">
        <v>0</v>
      </c>
      <c r="G21" s="31">
        <v>8</v>
      </c>
      <c r="H21" s="31">
        <v>0</v>
      </c>
      <c r="I21" s="31">
        <v>6</v>
      </c>
      <c r="J21" s="31">
        <v>2</v>
      </c>
      <c r="K21" s="31">
        <v>4</v>
      </c>
      <c r="L21" s="31">
        <v>5</v>
      </c>
    </row>
    <row r="22" spans="1:12" x14ac:dyDescent="0.35">
      <c r="A22" s="30">
        <v>20</v>
      </c>
      <c r="B22" s="30" t="s">
        <v>32</v>
      </c>
      <c r="C22" s="31">
        <v>10.5</v>
      </c>
      <c r="D22" s="31">
        <v>1</v>
      </c>
      <c r="E22" s="31">
        <v>7</v>
      </c>
      <c r="F22" s="31">
        <v>0</v>
      </c>
      <c r="G22" s="31">
        <v>10</v>
      </c>
      <c r="H22" s="31">
        <v>0</v>
      </c>
      <c r="I22" s="31">
        <v>5</v>
      </c>
      <c r="J22" s="31">
        <v>2</v>
      </c>
      <c r="K22" s="31">
        <v>2</v>
      </c>
      <c r="L22" s="31">
        <v>4</v>
      </c>
    </row>
    <row r="23" spans="1:12" x14ac:dyDescent="0.35">
      <c r="A23" s="30">
        <v>21</v>
      </c>
      <c r="B23" s="30" t="s">
        <v>33</v>
      </c>
      <c r="C23" s="31">
        <v>12.5</v>
      </c>
      <c r="D23" s="31">
        <v>1</v>
      </c>
      <c r="E23" s="31">
        <v>9</v>
      </c>
      <c r="F23" s="31">
        <v>0</v>
      </c>
      <c r="G23" s="31">
        <v>10</v>
      </c>
      <c r="H23" s="31">
        <v>0</v>
      </c>
      <c r="I23" s="31">
        <v>5</v>
      </c>
      <c r="J23" s="31">
        <v>2</v>
      </c>
      <c r="K23" s="31">
        <v>2</v>
      </c>
      <c r="L23" s="31">
        <v>6</v>
      </c>
    </row>
    <row r="24" spans="1:12" x14ac:dyDescent="0.35">
      <c r="A24" s="30">
        <v>22</v>
      </c>
      <c r="B24" s="30" t="s">
        <v>34</v>
      </c>
      <c r="C24" s="31">
        <v>12.5</v>
      </c>
      <c r="D24" s="31">
        <v>1</v>
      </c>
      <c r="E24" s="31">
        <v>7</v>
      </c>
      <c r="F24" s="31">
        <v>0</v>
      </c>
      <c r="G24" s="31">
        <v>10</v>
      </c>
      <c r="H24" s="31">
        <v>0</v>
      </c>
      <c r="I24" s="31">
        <v>7</v>
      </c>
      <c r="J24" s="31">
        <v>2</v>
      </c>
      <c r="K24" s="31">
        <v>4</v>
      </c>
      <c r="L24" s="31">
        <v>4</v>
      </c>
    </row>
    <row r="25" spans="1:12" x14ac:dyDescent="0.35">
      <c r="A25" s="30">
        <v>23</v>
      </c>
      <c r="B25" s="30" t="s">
        <v>35</v>
      </c>
      <c r="C25" s="31">
        <v>9.5</v>
      </c>
      <c r="D25" s="31">
        <v>1</v>
      </c>
      <c r="E25" s="31">
        <v>7</v>
      </c>
      <c r="F25" s="31">
        <v>0</v>
      </c>
      <c r="G25" s="31">
        <v>8</v>
      </c>
      <c r="H25" s="31">
        <v>0</v>
      </c>
      <c r="I25" s="31">
        <v>5</v>
      </c>
      <c r="J25" s="31">
        <v>2</v>
      </c>
      <c r="K25" s="31">
        <v>2</v>
      </c>
      <c r="L25" s="31">
        <v>6</v>
      </c>
    </row>
    <row r="26" spans="1:12" x14ac:dyDescent="0.35">
      <c r="A26" s="30">
        <v>24</v>
      </c>
      <c r="B26" s="30" t="s">
        <v>36</v>
      </c>
      <c r="C26" s="31">
        <v>12.5</v>
      </c>
      <c r="D26" s="31">
        <v>1</v>
      </c>
      <c r="E26" s="31">
        <v>9</v>
      </c>
      <c r="F26" s="31">
        <v>0</v>
      </c>
      <c r="G26" s="31">
        <v>8</v>
      </c>
      <c r="H26" s="31">
        <v>0</v>
      </c>
      <c r="I26" s="31">
        <v>7</v>
      </c>
      <c r="J26" s="31">
        <v>2</v>
      </c>
      <c r="K26" s="31">
        <v>2</v>
      </c>
      <c r="L26" s="31">
        <v>6</v>
      </c>
    </row>
    <row r="27" spans="1:12" x14ac:dyDescent="0.35">
      <c r="A27" s="30">
        <v>25</v>
      </c>
      <c r="B27" s="30" t="s">
        <v>37</v>
      </c>
      <c r="C27" s="31">
        <v>11.5</v>
      </c>
      <c r="D27" s="31">
        <v>1</v>
      </c>
      <c r="E27" s="31">
        <v>5</v>
      </c>
      <c r="F27" s="31">
        <v>0</v>
      </c>
      <c r="G27" s="31">
        <v>8</v>
      </c>
      <c r="H27" s="31">
        <v>0</v>
      </c>
      <c r="I27" s="31">
        <v>4</v>
      </c>
      <c r="J27" s="31">
        <v>2</v>
      </c>
      <c r="K27" s="31">
        <v>4</v>
      </c>
      <c r="L27" s="31">
        <v>5</v>
      </c>
    </row>
    <row r="28" spans="1:12" x14ac:dyDescent="0.35">
      <c r="A28" s="30">
        <v>26</v>
      </c>
      <c r="B28" s="30" t="s">
        <v>38</v>
      </c>
      <c r="C28" s="31">
        <v>12.5</v>
      </c>
      <c r="D28" s="31">
        <v>1</v>
      </c>
      <c r="E28" s="31">
        <v>9</v>
      </c>
      <c r="F28" s="31">
        <v>0</v>
      </c>
      <c r="G28" s="31">
        <v>8</v>
      </c>
      <c r="H28" s="31">
        <v>0</v>
      </c>
      <c r="I28" s="31">
        <v>7</v>
      </c>
      <c r="J28" s="31">
        <v>2</v>
      </c>
      <c r="K28" s="31">
        <v>4</v>
      </c>
      <c r="L28" s="31">
        <v>6</v>
      </c>
    </row>
    <row r="29" spans="1:12" x14ac:dyDescent="0.35">
      <c r="A29" s="30">
        <v>27</v>
      </c>
      <c r="B29" s="30" t="s">
        <v>39</v>
      </c>
      <c r="C29" s="31">
        <v>12.5</v>
      </c>
      <c r="D29" s="31">
        <v>0</v>
      </c>
      <c r="E29" s="31">
        <v>7</v>
      </c>
      <c r="F29" s="31">
        <v>0</v>
      </c>
      <c r="G29" s="31">
        <v>8</v>
      </c>
      <c r="H29" s="31">
        <v>0</v>
      </c>
      <c r="I29" s="31">
        <v>7</v>
      </c>
      <c r="J29" s="31">
        <v>0</v>
      </c>
      <c r="K29" s="31">
        <v>3</v>
      </c>
      <c r="L29" s="31">
        <v>4</v>
      </c>
    </row>
    <row r="30" spans="1:12" x14ac:dyDescent="0.35">
      <c r="A30" s="30">
        <v>28</v>
      </c>
      <c r="B30" s="30" t="s">
        <v>40</v>
      </c>
      <c r="C30" s="31">
        <v>12.5</v>
      </c>
      <c r="D30" s="31">
        <v>1</v>
      </c>
      <c r="E30" s="31">
        <v>7</v>
      </c>
      <c r="F30" s="31">
        <v>0</v>
      </c>
      <c r="G30" s="31">
        <v>10</v>
      </c>
      <c r="H30" s="31">
        <v>0</v>
      </c>
      <c r="I30" s="31">
        <v>7</v>
      </c>
      <c r="J30" s="31">
        <v>2</v>
      </c>
      <c r="K30" s="31">
        <v>4</v>
      </c>
      <c r="L30" s="31">
        <v>4</v>
      </c>
    </row>
    <row r="31" spans="1:12" x14ac:dyDescent="0.35">
      <c r="A31" s="30">
        <v>29</v>
      </c>
      <c r="B31" s="30" t="s">
        <v>41</v>
      </c>
      <c r="C31" s="31">
        <v>13</v>
      </c>
      <c r="D31" s="31">
        <v>1</v>
      </c>
      <c r="E31" s="31">
        <v>9</v>
      </c>
      <c r="F31" s="31">
        <v>0</v>
      </c>
      <c r="G31" s="31">
        <v>10</v>
      </c>
      <c r="H31" s="31">
        <v>0</v>
      </c>
      <c r="I31" s="31">
        <v>5</v>
      </c>
      <c r="J31" s="31">
        <v>2</v>
      </c>
      <c r="K31" s="31">
        <v>4</v>
      </c>
      <c r="L31" s="31">
        <v>5</v>
      </c>
    </row>
    <row r="32" spans="1:12" x14ac:dyDescent="0.35">
      <c r="A32" s="30">
        <v>30</v>
      </c>
      <c r="B32" s="30" t="s">
        <v>42</v>
      </c>
      <c r="C32" s="31">
        <v>12.5</v>
      </c>
      <c r="D32" s="31">
        <v>1</v>
      </c>
      <c r="E32" s="31">
        <v>9</v>
      </c>
      <c r="F32" s="31">
        <v>0</v>
      </c>
      <c r="G32" s="31">
        <v>8</v>
      </c>
      <c r="H32" s="31">
        <v>0</v>
      </c>
      <c r="I32" s="31">
        <v>7</v>
      </c>
      <c r="J32" s="31">
        <v>2</v>
      </c>
      <c r="K32" s="31">
        <v>2</v>
      </c>
      <c r="L32" s="31">
        <v>6</v>
      </c>
    </row>
    <row r="33" spans="1:12" x14ac:dyDescent="0.35">
      <c r="A33" s="30">
        <v>31</v>
      </c>
      <c r="B33" s="30" t="s">
        <v>43</v>
      </c>
      <c r="C33" s="31">
        <v>12.5</v>
      </c>
      <c r="D33" s="31">
        <v>1</v>
      </c>
      <c r="E33" s="31">
        <v>8</v>
      </c>
      <c r="F33" s="31">
        <v>0</v>
      </c>
      <c r="G33" s="31">
        <v>8</v>
      </c>
      <c r="H33" s="31">
        <v>0</v>
      </c>
      <c r="I33" s="31">
        <v>6</v>
      </c>
      <c r="J33" s="31">
        <v>2</v>
      </c>
      <c r="K33" s="31">
        <v>4</v>
      </c>
      <c r="L33" s="31">
        <v>5</v>
      </c>
    </row>
    <row r="34" spans="1:12" x14ac:dyDescent="0.35">
      <c r="A34" s="30">
        <v>32</v>
      </c>
      <c r="B34" s="30" t="s">
        <v>44</v>
      </c>
      <c r="C34" s="31">
        <v>13.5</v>
      </c>
      <c r="D34" s="31">
        <v>1</v>
      </c>
      <c r="E34" s="31">
        <v>9</v>
      </c>
      <c r="F34" s="31">
        <v>0</v>
      </c>
      <c r="G34" s="31">
        <v>10</v>
      </c>
      <c r="H34" s="31">
        <v>0</v>
      </c>
      <c r="I34" s="31">
        <v>5</v>
      </c>
      <c r="J34" s="31">
        <v>2</v>
      </c>
      <c r="K34" s="31">
        <v>4</v>
      </c>
      <c r="L34" s="31">
        <v>5</v>
      </c>
    </row>
    <row r="35" spans="1:12" x14ac:dyDescent="0.35">
      <c r="A35" s="30">
        <v>33</v>
      </c>
      <c r="B35" s="30" t="s">
        <v>45</v>
      </c>
      <c r="C35" s="31">
        <v>13.5</v>
      </c>
      <c r="D35" s="31">
        <v>1</v>
      </c>
      <c r="E35" s="31">
        <v>9</v>
      </c>
      <c r="F35" s="31">
        <v>0</v>
      </c>
      <c r="G35" s="31">
        <v>10</v>
      </c>
      <c r="H35" s="31">
        <v>0</v>
      </c>
      <c r="I35" s="31">
        <v>7</v>
      </c>
      <c r="J35" s="31">
        <v>2</v>
      </c>
      <c r="K35" s="31">
        <v>4</v>
      </c>
      <c r="L35" s="31">
        <v>6</v>
      </c>
    </row>
    <row r="36" spans="1:12" x14ac:dyDescent="0.35">
      <c r="A36" s="30">
        <v>34</v>
      </c>
      <c r="B36" s="30" t="s">
        <v>46</v>
      </c>
      <c r="C36" s="31">
        <v>12.5</v>
      </c>
      <c r="D36" s="31">
        <v>1</v>
      </c>
      <c r="E36" s="31">
        <v>9</v>
      </c>
      <c r="F36" s="31">
        <v>0</v>
      </c>
      <c r="G36" s="31">
        <v>9</v>
      </c>
      <c r="H36" s="31">
        <v>0</v>
      </c>
      <c r="I36" s="31">
        <v>7</v>
      </c>
      <c r="J36" s="31">
        <v>2</v>
      </c>
      <c r="K36" s="31">
        <v>4</v>
      </c>
      <c r="L36" s="31">
        <v>6</v>
      </c>
    </row>
    <row r="37" spans="1:12" x14ac:dyDescent="0.35">
      <c r="A37" s="30">
        <v>35</v>
      </c>
      <c r="B37" s="30" t="s">
        <v>47</v>
      </c>
      <c r="C37" s="31">
        <v>13.5</v>
      </c>
      <c r="D37" s="31">
        <v>1</v>
      </c>
      <c r="E37" s="31">
        <v>8</v>
      </c>
      <c r="F37" s="31">
        <v>0</v>
      </c>
      <c r="G37" s="31">
        <v>8</v>
      </c>
      <c r="H37" s="31">
        <v>0</v>
      </c>
      <c r="I37" s="31">
        <v>6</v>
      </c>
      <c r="J37" s="31">
        <v>2</v>
      </c>
      <c r="K37" s="31">
        <v>4</v>
      </c>
      <c r="L37" s="31">
        <v>5</v>
      </c>
    </row>
    <row r="38" spans="1:12" x14ac:dyDescent="0.35">
      <c r="A38" s="30">
        <v>36</v>
      </c>
      <c r="B38" s="30" t="s">
        <v>48</v>
      </c>
      <c r="C38" s="31">
        <v>12.5</v>
      </c>
      <c r="D38" s="31">
        <v>1</v>
      </c>
      <c r="E38" s="31">
        <v>9</v>
      </c>
      <c r="F38" s="31">
        <v>0</v>
      </c>
      <c r="G38" s="31">
        <v>8</v>
      </c>
      <c r="H38" s="31">
        <v>0</v>
      </c>
      <c r="I38" s="31">
        <v>7</v>
      </c>
      <c r="J38" s="31">
        <v>2</v>
      </c>
      <c r="K38" s="31">
        <v>2</v>
      </c>
      <c r="L38" s="31">
        <v>6</v>
      </c>
    </row>
    <row r="39" spans="1:12" x14ac:dyDescent="0.35">
      <c r="A39" s="30">
        <v>37</v>
      </c>
      <c r="B39" s="30" t="s">
        <v>49</v>
      </c>
      <c r="C39" s="31">
        <v>10.5</v>
      </c>
      <c r="D39" s="31">
        <v>0</v>
      </c>
      <c r="E39" s="31">
        <v>8</v>
      </c>
      <c r="F39" s="31">
        <v>0</v>
      </c>
      <c r="G39" s="31">
        <v>10</v>
      </c>
      <c r="H39" s="31">
        <v>0</v>
      </c>
      <c r="I39" s="31">
        <v>7</v>
      </c>
      <c r="J39" s="31">
        <v>2</v>
      </c>
      <c r="K39" s="31">
        <v>3</v>
      </c>
      <c r="L39" s="31">
        <v>6</v>
      </c>
    </row>
    <row r="40" spans="1:12" x14ac:dyDescent="0.35">
      <c r="A40" s="30">
        <v>38</v>
      </c>
      <c r="B40" s="30" t="s">
        <v>50</v>
      </c>
      <c r="C40" s="31">
        <v>12.5</v>
      </c>
      <c r="D40" s="31">
        <v>1</v>
      </c>
      <c r="E40" s="31">
        <v>7</v>
      </c>
      <c r="F40" s="31">
        <v>0</v>
      </c>
      <c r="G40" s="31">
        <v>10</v>
      </c>
      <c r="H40" s="31">
        <v>0</v>
      </c>
      <c r="I40" s="31">
        <v>7</v>
      </c>
      <c r="J40" s="31">
        <v>2</v>
      </c>
      <c r="K40" s="31">
        <v>4</v>
      </c>
      <c r="L40" s="31">
        <v>4</v>
      </c>
    </row>
    <row r="41" spans="1:12" x14ac:dyDescent="0.35">
      <c r="A41" s="30">
        <v>39</v>
      </c>
      <c r="B41" s="30" t="s">
        <v>51</v>
      </c>
      <c r="C41" s="31">
        <v>13.5</v>
      </c>
      <c r="D41" s="31">
        <v>1</v>
      </c>
      <c r="E41" s="31">
        <v>8</v>
      </c>
      <c r="F41" s="31">
        <v>0</v>
      </c>
      <c r="G41" s="31">
        <v>9</v>
      </c>
      <c r="H41" s="31">
        <v>0</v>
      </c>
      <c r="I41" s="31">
        <v>7</v>
      </c>
      <c r="J41" s="31">
        <v>2</v>
      </c>
      <c r="K41" s="31">
        <v>4</v>
      </c>
      <c r="L41" s="31">
        <v>6</v>
      </c>
    </row>
    <row r="42" spans="1:12" x14ac:dyDescent="0.35">
      <c r="A42" s="30">
        <v>40</v>
      </c>
      <c r="B42" s="30" t="s">
        <v>52</v>
      </c>
      <c r="C42" s="31">
        <v>12.5</v>
      </c>
      <c r="D42" s="31">
        <v>1</v>
      </c>
      <c r="E42" s="31">
        <v>8</v>
      </c>
      <c r="F42" s="31">
        <v>0</v>
      </c>
      <c r="G42" s="31">
        <v>8</v>
      </c>
      <c r="H42" s="31">
        <v>0</v>
      </c>
      <c r="I42" s="31">
        <v>4</v>
      </c>
      <c r="J42" s="31">
        <v>2</v>
      </c>
      <c r="K42" s="31">
        <v>2</v>
      </c>
      <c r="L42" s="31">
        <v>5</v>
      </c>
    </row>
    <row r="43" spans="1:12" x14ac:dyDescent="0.35">
      <c r="A43" s="30">
        <v>41</v>
      </c>
      <c r="B43" s="30" t="s">
        <v>53</v>
      </c>
      <c r="C43" s="31">
        <v>9.5</v>
      </c>
      <c r="D43" s="31">
        <v>1</v>
      </c>
      <c r="E43" s="31">
        <v>5</v>
      </c>
      <c r="F43" s="31">
        <v>0</v>
      </c>
      <c r="G43" s="31">
        <v>10</v>
      </c>
      <c r="H43" s="31">
        <v>0</v>
      </c>
      <c r="I43" s="31">
        <v>3</v>
      </c>
      <c r="J43" s="31">
        <v>2</v>
      </c>
      <c r="K43" s="31">
        <v>4</v>
      </c>
      <c r="L43" s="31">
        <v>3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showGridLines="0" workbookViewId="0">
      <pane xSplit="2" ySplit="2" topLeftCell="D26" activePane="bottomRight" state="frozen"/>
      <selection pane="topRight"/>
      <selection pane="bottomLeft"/>
      <selection pane="bottomRight" activeCell="B26" sqref="B26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9" t="s">
        <v>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3" t="s">
        <v>2</v>
      </c>
      <c r="B2" s="23" t="s">
        <v>3</v>
      </c>
      <c r="C2" s="23" t="s">
        <v>55</v>
      </c>
      <c r="D2" s="23" t="s">
        <v>56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61</v>
      </c>
      <c r="J2" s="23" t="s">
        <v>62</v>
      </c>
      <c r="K2" s="23" t="s">
        <v>8</v>
      </c>
      <c r="L2" s="23" t="s">
        <v>9</v>
      </c>
    </row>
    <row r="3" spans="1:12" x14ac:dyDescent="0.35">
      <c r="A3" s="30">
        <v>1</v>
      </c>
      <c r="B3" s="30" t="s">
        <v>13</v>
      </c>
      <c r="C3" s="31">
        <v>15</v>
      </c>
      <c r="D3" s="31">
        <v>2</v>
      </c>
      <c r="E3" s="31">
        <v>11</v>
      </c>
      <c r="F3" s="31">
        <v>7</v>
      </c>
      <c r="G3" s="31">
        <v>18</v>
      </c>
      <c r="H3" s="31">
        <v>2</v>
      </c>
      <c r="I3" s="31">
        <v>13</v>
      </c>
      <c r="J3" s="31">
        <v>5</v>
      </c>
      <c r="K3" s="31">
        <v>6</v>
      </c>
      <c r="L3" s="31">
        <v>5</v>
      </c>
    </row>
    <row r="4" spans="1:12" x14ac:dyDescent="0.35">
      <c r="A4" s="30">
        <v>2</v>
      </c>
      <c r="B4" s="30" t="s">
        <v>14</v>
      </c>
      <c r="C4" s="31">
        <v>13</v>
      </c>
      <c r="D4" s="31">
        <v>2</v>
      </c>
      <c r="E4" s="31">
        <v>7</v>
      </c>
      <c r="F4" s="31">
        <v>6</v>
      </c>
      <c r="G4" s="31">
        <v>18</v>
      </c>
      <c r="H4" s="31">
        <v>2</v>
      </c>
      <c r="I4" s="31">
        <v>13</v>
      </c>
      <c r="J4" s="31">
        <v>3</v>
      </c>
      <c r="K4" s="31">
        <v>5</v>
      </c>
      <c r="L4" s="31">
        <v>5</v>
      </c>
    </row>
    <row r="5" spans="1:12" x14ac:dyDescent="0.35">
      <c r="A5" s="30">
        <v>3</v>
      </c>
      <c r="B5" s="30" t="s">
        <v>15</v>
      </c>
      <c r="C5" s="31">
        <v>11</v>
      </c>
      <c r="D5" s="31">
        <v>2</v>
      </c>
      <c r="E5" s="31">
        <v>8</v>
      </c>
      <c r="F5" s="31">
        <v>6</v>
      </c>
      <c r="G5" s="31">
        <v>14</v>
      </c>
      <c r="H5" s="31">
        <v>2</v>
      </c>
      <c r="I5" s="31">
        <v>10</v>
      </c>
      <c r="J5" s="31">
        <v>4</v>
      </c>
      <c r="K5" s="31">
        <v>5</v>
      </c>
      <c r="L5" s="31">
        <v>4</v>
      </c>
    </row>
    <row r="6" spans="1:12" x14ac:dyDescent="0.35">
      <c r="A6" s="30">
        <v>4</v>
      </c>
      <c r="B6" s="30" t="s">
        <v>16</v>
      </c>
      <c r="C6" s="31">
        <v>11</v>
      </c>
      <c r="D6" s="31">
        <v>2</v>
      </c>
      <c r="E6" s="31">
        <v>9</v>
      </c>
      <c r="F6" s="31">
        <v>6</v>
      </c>
      <c r="G6" s="31">
        <v>14</v>
      </c>
      <c r="H6" s="31">
        <v>2</v>
      </c>
      <c r="I6" s="31">
        <v>12</v>
      </c>
      <c r="J6" s="31">
        <v>3</v>
      </c>
      <c r="K6" s="31">
        <v>5</v>
      </c>
      <c r="L6" s="31">
        <v>5</v>
      </c>
    </row>
    <row r="7" spans="1:12" x14ac:dyDescent="0.35">
      <c r="A7" s="30">
        <v>5</v>
      </c>
      <c r="B7" s="30" t="s">
        <v>17</v>
      </c>
      <c r="C7" s="31">
        <v>15</v>
      </c>
      <c r="D7" s="31">
        <v>2</v>
      </c>
      <c r="E7" s="31">
        <v>11</v>
      </c>
      <c r="F7" s="31">
        <v>7</v>
      </c>
      <c r="G7" s="31">
        <v>18</v>
      </c>
      <c r="H7" s="31">
        <v>2</v>
      </c>
      <c r="I7" s="31">
        <v>13</v>
      </c>
      <c r="J7" s="31">
        <v>5</v>
      </c>
      <c r="K7" s="31">
        <v>6</v>
      </c>
      <c r="L7" s="31">
        <v>5</v>
      </c>
    </row>
    <row r="8" spans="1:12" x14ac:dyDescent="0.35">
      <c r="A8" s="30">
        <v>6</v>
      </c>
      <c r="B8" s="30" t="s">
        <v>18</v>
      </c>
      <c r="C8" s="31">
        <v>15</v>
      </c>
      <c r="D8" s="31">
        <v>2</v>
      </c>
      <c r="E8" s="31">
        <v>11</v>
      </c>
      <c r="F8" s="31">
        <v>7</v>
      </c>
      <c r="G8" s="31">
        <v>18</v>
      </c>
      <c r="H8" s="31">
        <v>2</v>
      </c>
      <c r="I8" s="31">
        <v>13</v>
      </c>
      <c r="J8" s="31">
        <v>5</v>
      </c>
      <c r="K8" s="31">
        <v>6</v>
      </c>
      <c r="L8" s="31">
        <v>5</v>
      </c>
    </row>
    <row r="9" spans="1:12" x14ac:dyDescent="0.35">
      <c r="A9" s="30">
        <v>7</v>
      </c>
      <c r="B9" s="30" t="s">
        <v>19</v>
      </c>
      <c r="C9" s="31">
        <v>15</v>
      </c>
      <c r="D9" s="31">
        <v>2</v>
      </c>
      <c r="E9" s="31">
        <v>5</v>
      </c>
      <c r="F9" s="31">
        <v>7</v>
      </c>
      <c r="G9" s="31">
        <v>18</v>
      </c>
      <c r="H9" s="31">
        <v>2</v>
      </c>
      <c r="I9" s="31">
        <v>13</v>
      </c>
      <c r="J9" s="31">
        <v>3</v>
      </c>
      <c r="K9" s="31">
        <v>5</v>
      </c>
      <c r="L9" s="31">
        <v>5</v>
      </c>
    </row>
    <row r="10" spans="1:12" x14ac:dyDescent="0.35">
      <c r="A10" s="30">
        <v>8</v>
      </c>
      <c r="B10" s="30" t="s">
        <v>20</v>
      </c>
      <c r="C10" s="31">
        <v>13</v>
      </c>
      <c r="D10" s="31">
        <v>2</v>
      </c>
      <c r="E10" s="31">
        <v>11</v>
      </c>
      <c r="F10" s="31">
        <v>7</v>
      </c>
      <c r="G10" s="31">
        <v>18</v>
      </c>
      <c r="H10" s="31">
        <v>2</v>
      </c>
      <c r="I10" s="31">
        <v>13</v>
      </c>
      <c r="J10" s="31">
        <v>5</v>
      </c>
      <c r="K10" s="31">
        <v>6</v>
      </c>
      <c r="L10" s="31">
        <v>5</v>
      </c>
    </row>
    <row r="11" spans="1:12" x14ac:dyDescent="0.35">
      <c r="A11" s="30">
        <v>9</v>
      </c>
      <c r="B11" s="30" t="s">
        <v>21</v>
      </c>
      <c r="C11" s="31">
        <v>15</v>
      </c>
      <c r="D11" s="31">
        <v>2</v>
      </c>
      <c r="E11" s="31">
        <v>11</v>
      </c>
      <c r="F11" s="31">
        <v>7</v>
      </c>
      <c r="G11" s="31">
        <v>16</v>
      </c>
      <c r="H11" s="31">
        <v>2</v>
      </c>
      <c r="I11" s="31">
        <v>13</v>
      </c>
      <c r="J11" s="31">
        <v>5</v>
      </c>
      <c r="K11" s="31">
        <v>5</v>
      </c>
      <c r="L11" s="31">
        <v>5</v>
      </c>
    </row>
    <row r="12" spans="1:12" x14ac:dyDescent="0.35">
      <c r="A12" s="30">
        <v>10</v>
      </c>
      <c r="B12" s="30" t="s">
        <v>22</v>
      </c>
      <c r="C12" s="31">
        <v>12</v>
      </c>
      <c r="D12" s="31">
        <v>2</v>
      </c>
      <c r="E12" s="31">
        <v>11</v>
      </c>
      <c r="F12" s="31">
        <v>4</v>
      </c>
      <c r="G12" s="31">
        <v>18</v>
      </c>
      <c r="H12" s="31">
        <v>2</v>
      </c>
      <c r="I12" s="31">
        <v>13</v>
      </c>
      <c r="J12" s="31">
        <v>5</v>
      </c>
      <c r="K12" s="31">
        <v>6</v>
      </c>
      <c r="L12" s="31">
        <v>5</v>
      </c>
    </row>
    <row r="13" spans="1:12" x14ac:dyDescent="0.35">
      <c r="A13" s="30">
        <v>11</v>
      </c>
      <c r="B13" s="30" t="s">
        <v>23</v>
      </c>
      <c r="C13" s="31">
        <v>11</v>
      </c>
      <c r="D13" s="31">
        <v>2</v>
      </c>
      <c r="E13" s="31">
        <v>10</v>
      </c>
      <c r="F13" s="31">
        <v>7</v>
      </c>
      <c r="G13" s="31">
        <v>16</v>
      </c>
      <c r="H13" s="31">
        <v>2</v>
      </c>
      <c r="I13" s="31">
        <v>11</v>
      </c>
      <c r="J13" s="31">
        <v>5</v>
      </c>
      <c r="K13" s="31">
        <v>6</v>
      </c>
      <c r="L13" s="31">
        <v>5</v>
      </c>
    </row>
    <row r="14" spans="1:12" x14ac:dyDescent="0.35">
      <c r="A14" s="30">
        <v>12</v>
      </c>
      <c r="B14" s="30" t="s">
        <v>24</v>
      </c>
      <c r="C14" s="31">
        <v>15</v>
      </c>
      <c r="D14" s="31">
        <v>2</v>
      </c>
      <c r="E14" s="31">
        <v>11</v>
      </c>
      <c r="F14" s="31">
        <v>6</v>
      </c>
      <c r="G14" s="31">
        <v>18</v>
      </c>
      <c r="H14" s="31">
        <v>2</v>
      </c>
      <c r="I14" s="31">
        <v>12</v>
      </c>
      <c r="J14" s="31">
        <v>4</v>
      </c>
      <c r="K14" s="31">
        <v>6</v>
      </c>
      <c r="L14" s="31">
        <v>5</v>
      </c>
    </row>
    <row r="15" spans="1:12" x14ac:dyDescent="0.35">
      <c r="A15" s="30">
        <v>13</v>
      </c>
      <c r="B15" s="30" t="s">
        <v>25</v>
      </c>
      <c r="C15" s="31">
        <v>14</v>
      </c>
      <c r="D15" s="31">
        <v>1</v>
      </c>
      <c r="E15" s="31">
        <v>10</v>
      </c>
      <c r="F15" s="31">
        <v>6</v>
      </c>
      <c r="G15" s="31">
        <v>16</v>
      </c>
      <c r="H15" s="31">
        <v>2</v>
      </c>
      <c r="I15" s="31">
        <v>11</v>
      </c>
      <c r="J15" s="31">
        <v>5</v>
      </c>
      <c r="K15" s="31">
        <v>5</v>
      </c>
      <c r="L15" s="31">
        <v>5</v>
      </c>
    </row>
    <row r="16" spans="1:12" x14ac:dyDescent="0.35">
      <c r="A16" s="30">
        <v>14</v>
      </c>
      <c r="B16" s="30" t="s">
        <v>26</v>
      </c>
      <c r="C16" s="31">
        <v>12</v>
      </c>
      <c r="D16" s="31">
        <v>2</v>
      </c>
      <c r="E16" s="31">
        <v>10</v>
      </c>
      <c r="F16" s="31">
        <v>7</v>
      </c>
      <c r="G16" s="31">
        <v>16</v>
      </c>
      <c r="H16" s="31">
        <v>2</v>
      </c>
      <c r="I16" s="31">
        <v>11</v>
      </c>
      <c r="J16" s="31">
        <v>5</v>
      </c>
      <c r="K16" s="31">
        <v>6</v>
      </c>
      <c r="L16" s="31">
        <v>5</v>
      </c>
    </row>
    <row r="17" spans="1:12" x14ac:dyDescent="0.35">
      <c r="A17" s="30">
        <v>15</v>
      </c>
      <c r="B17" s="30" t="s">
        <v>27</v>
      </c>
      <c r="C17" s="31">
        <v>13</v>
      </c>
      <c r="D17" s="31">
        <v>2</v>
      </c>
      <c r="E17" s="31">
        <v>10</v>
      </c>
      <c r="F17" s="31">
        <v>7</v>
      </c>
      <c r="G17" s="31">
        <v>16</v>
      </c>
      <c r="H17" s="31">
        <v>2</v>
      </c>
      <c r="I17" s="31">
        <v>11</v>
      </c>
      <c r="J17" s="31">
        <v>4</v>
      </c>
      <c r="K17" s="31">
        <v>6</v>
      </c>
      <c r="L17" s="31">
        <v>5</v>
      </c>
    </row>
    <row r="18" spans="1:12" x14ac:dyDescent="0.35">
      <c r="A18" s="30">
        <v>16</v>
      </c>
      <c r="B18" s="30" t="s">
        <v>28</v>
      </c>
      <c r="C18" s="31">
        <v>13</v>
      </c>
      <c r="D18" s="31">
        <v>2</v>
      </c>
      <c r="E18" s="31">
        <v>9</v>
      </c>
      <c r="F18" s="31">
        <v>7</v>
      </c>
      <c r="G18" s="31">
        <v>18</v>
      </c>
      <c r="H18" s="31">
        <v>2</v>
      </c>
      <c r="I18" s="31">
        <v>11</v>
      </c>
      <c r="J18" s="31">
        <v>5</v>
      </c>
      <c r="K18" s="31">
        <v>5</v>
      </c>
      <c r="L18" s="31">
        <v>5</v>
      </c>
    </row>
    <row r="19" spans="1:12" x14ac:dyDescent="0.35">
      <c r="A19" s="30">
        <v>17</v>
      </c>
      <c r="B19" s="30" t="s">
        <v>29</v>
      </c>
      <c r="C19" s="31">
        <v>15</v>
      </c>
      <c r="D19" s="31">
        <v>2</v>
      </c>
      <c r="E19" s="31">
        <v>11</v>
      </c>
      <c r="F19" s="31">
        <v>7</v>
      </c>
      <c r="G19" s="31">
        <v>18</v>
      </c>
      <c r="H19" s="31">
        <v>2</v>
      </c>
      <c r="I19" s="31">
        <v>13</v>
      </c>
      <c r="J19" s="31">
        <v>5</v>
      </c>
      <c r="K19" s="31">
        <v>6</v>
      </c>
      <c r="L19" s="31">
        <v>5</v>
      </c>
    </row>
    <row r="20" spans="1:12" x14ac:dyDescent="0.35">
      <c r="A20" s="30">
        <v>18</v>
      </c>
      <c r="B20" s="30" t="s">
        <v>30</v>
      </c>
      <c r="C20" s="31">
        <v>15</v>
      </c>
      <c r="D20" s="31">
        <v>2</v>
      </c>
      <c r="E20" s="31">
        <v>11</v>
      </c>
      <c r="F20" s="31">
        <v>7</v>
      </c>
      <c r="G20" s="31">
        <v>18</v>
      </c>
      <c r="H20" s="31">
        <v>2</v>
      </c>
      <c r="I20" s="31">
        <v>13</v>
      </c>
      <c r="J20" s="31">
        <v>5</v>
      </c>
      <c r="K20" s="31">
        <v>6</v>
      </c>
      <c r="L20" s="31">
        <v>5</v>
      </c>
    </row>
    <row r="21" spans="1:12" x14ac:dyDescent="0.35">
      <c r="A21" s="30">
        <v>19</v>
      </c>
      <c r="B21" s="30" t="s">
        <v>31</v>
      </c>
      <c r="C21" s="31">
        <v>11</v>
      </c>
      <c r="D21" s="31">
        <v>2</v>
      </c>
      <c r="E21" s="31">
        <v>11</v>
      </c>
      <c r="F21" s="31">
        <v>4</v>
      </c>
      <c r="G21" s="31">
        <v>18</v>
      </c>
      <c r="H21" s="31">
        <v>2</v>
      </c>
      <c r="I21" s="31">
        <v>13</v>
      </c>
      <c r="J21" s="31">
        <v>5</v>
      </c>
      <c r="K21" s="31">
        <v>6</v>
      </c>
      <c r="L21" s="31">
        <v>5</v>
      </c>
    </row>
    <row r="22" spans="1:12" x14ac:dyDescent="0.35">
      <c r="A22" s="30">
        <v>20</v>
      </c>
      <c r="B22" s="30" t="s">
        <v>32</v>
      </c>
      <c r="C22" s="31">
        <v>12</v>
      </c>
      <c r="D22" s="31">
        <v>2</v>
      </c>
      <c r="E22" s="31">
        <v>11</v>
      </c>
      <c r="F22" s="31">
        <v>6</v>
      </c>
      <c r="G22" s="31">
        <v>14</v>
      </c>
      <c r="H22" s="31">
        <v>2</v>
      </c>
      <c r="I22" s="31">
        <v>12</v>
      </c>
      <c r="J22" s="31">
        <v>5</v>
      </c>
      <c r="K22" s="31">
        <v>5</v>
      </c>
      <c r="L22" s="31">
        <v>5</v>
      </c>
    </row>
    <row r="23" spans="1:12" x14ac:dyDescent="0.35">
      <c r="A23" s="30">
        <v>21</v>
      </c>
      <c r="B23" s="30" t="s">
        <v>33</v>
      </c>
      <c r="C23" s="31">
        <v>15</v>
      </c>
      <c r="D23" s="31">
        <v>2</v>
      </c>
      <c r="E23" s="31">
        <v>10</v>
      </c>
      <c r="F23" s="31">
        <v>7</v>
      </c>
      <c r="G23" s="31">
        <v>16</v>
      </c>
      <c r="H23" s="31">
        <v>2</v>
      </c>
      <c r="I23" s="31">
        <v>11</v>
      </c>
      <c r="J23" s="31">
        <v>4</v>
      </c>
      <c r="K23" s="31">
        <v>6</v>
      </c>
      <c r="L23" s="31">
        <v>4</v>
      </c>
    </row>
    <row r="24" spans="1:12" x14ac:dyDescent="0.35">
      <c r="A24" s="30">
        <v>22</v>
      </c>
      <c r="B24" s="30" t="s">
        <v>34</v>
      </c>
      <c r="C24" s="31">
        <v>12</v>
      </c>
      <c r="D24" s="31">
        <v>2</v>
      </c>
      <c r="E24" s="31">
        <v>11</v>
      </c>
      <c r="F24" s="31">
        <v>4</v>
      </c>
      <c r="G24" s="31">
        <v>18</v>
      </c>
      <c r="H24" s="31">
        <v>2</v>
      </c>
      <c r="I24" s="31">
        <v>13</v>
      </c>
      <c r="J24" s="31">
        <v>5</v>
      </c>
      <c r="K24" s="31">
        <v>6</v>
      </c>
      <c r="L24" s="31">
        <v>5</v>
      </c>
    </row>
    <row r="25" spans="1:12" x14ac:dyDescent="0.35">
      <c r="A25" s="30">
        <v>23</v>
      </c>
      <c r="B25" s="30" t="s">
        <v>35</v>
      </c>
      <c r="C25" s="31">
        <v>7</v>
      </c>
      <c r="D25" s="31">
        <v>1</v>
      </c>
      <c r="E25" s="31">
        <v>8</v>
      </c>
      <c r="F25" s="31">
        <v>3</v>
      </c>
      <c r="G25" s="31">
        <v>11</v>
      </c>
      <c r="H25" s="31">
        <v>2</v>
      </c>
      <c r="I25" s="31">
        <v>12</v>
      </c>
      <c r="J25" s="31">
        <v>4</v>
      </c>
      <c r="K25" s="31">
        <v>3</v>
      </c>
      <c r="L25" s="31">
        <v>5</v>
      </c>
    </row>
    <row r="26" spans="1:12" x14ac:dyDescent="0.35">
      <c r="A26" s="30">
        <v>24</v>
      </c>
      <c r="B26" s="30" t="s">
        <v>36</v>
      </c>
      <c r="C26" s="31">
        <v>5</v>
      </c>
      <c r="D26" s="31">
        <v>1</v>
      </c>
      <c r="E26" s="31">
        <v>7</v>
      </c>
      <c r="F26" s="31">
        <v>3</v>
      </c>
      <c r="G26" s="31">
        <v>14</v>
      </c>
      <c r="H26" s="31">
        <v>2</v>
      </c>
      <c r="I26" s="31">
        <v>11</v>
      </c>
      <c r="J26" s="31">
        <v>4</v>
      </c>
      <c r="K26" s="31">
        <v>3</v>
      </c>
      <c r="L26" s="31">
        <v>5</v>
      </c>
    </row>
    <row r="27" spans="1:12" x14ac:dyDescent="0.35">
      <c r="A27" s="30">
        <v>25</v>
      </c>
      <c r="B27" s="30" t="s">
        <v>37</v>
      </c>
      <c r="C27" s="31">
        <v>13</v>
      </c>
      <c r="D27" s="31">
        <v>2</v>
      </c>
      <c r="E27" s="31">
        <v>6</v>
      </c>
      <c r="F27" s="31">
        <v>7</v>
      </c>
      <c r="G27" s="31">
        <v>14</v>
      </c>
      <c r="H27" s="31">
        <v>2</v>
      </c>
      <c r="I27" s="31">
        <v>13</v>
      </c>
      <c r="J27" s="31">
        <v>1</v>
      </c>
      <c r="K27" s="31">
        <v>4</v>
      </c>
      <c r="L27" s="31">
        <v>4</v>
      </c>
    </row>
    <row r="28" spans="1:12" x14ac:dyDescent="0.35">
      <c r="A28" s="30">
        <v>26</v>
      </c>
      <c r="B28" s="30" t="s">
        <v>38</v>
      </c>
      <c r="C28" s="31">
        <v>13</v>
      </c>
      <c r="D28" s="31">
        <v>2</v>
      </c>
      <c r="E28" s="31">
        <v>9</v>
      </c>
      <c r="F28" s="31">
        <v>7</v>
      </c>
      <c r="G28" s="31">
        <v>16</v>
      </c>
      <c r="H28" s="31">
        <v>2</v>
      </c>
      <c r="I28" s="31">
        <v>14</v>
      </c>
      <c r="J28" s="31">
        <v>2</v>
      </c>
      <c r="K28" s="31">
        <v>5</v>
      </c>
      <c r="L28" s="31">
        <v>4</v>
      </c>
    </row>
    <row r="29" spans="1:12" x14ac:dyDescent="0.35">
      <c r="A29" s="30">
        <v>27</v>
      </c>
      <c r="B29" s="30" t="s">
        <v>39</v>
      </c>
      <c r="C29" s="31">
        <v>15</v>
      </c>
      <c r="D29" s="31">
        <v>2</v>
      </c>
      <c r="E29" s="31">
        <v>11</v>
      </c>
      <c r="F29" s="31">
        <v>7</v>
      </c>
      <c r="G29" s="31">
        <v>16</v>
      </c>
      <c r="H29" s="31">
        <v>2</v>
      </c>
      <c r="I29" s="31">
        <v>13</v>
      </c>
      <c r="J29" s="31">
        <v>5</v>
      </c>
      <c r="K29" s="31">
        <v>6</v>
      </c>
      <c r="L29" s="31">
        <v>5</v>
      </c>
    </row>
    <row r="30" spans="1:12" x14ac:dyDescent="0.35">
      <c r="A30" s="30">
        <v>28</v>
      </c>
      <c r="B30" s="30" t="s">
        <v>40</v>
      </c>
      <c r="C30" s="31">
        <v>12</v>
      </c>
      <c r="D30" s="31">
        <v>2</v>
      </c>
      <c r="E30" s="31">
        <v>11</v>
      </c>
      <c r="F30" s="31">
        <v>4</v>
      </c>
      <c r="G30" s="31">
        <v>18</v>
      </c>
      <c r="H30" s="31">
        <v>2</v>
      </c>
      <c r="I30" s="31">
        <v>13</v>
      </c>
      <c r="J30" s="31">
        <v>5</v>
      </c>
      <c r="K30" s="31">
        <v>6</v>
      </c>
      <c r="L30" s="31">
        <v>5</v>
      </c>
    </row>
    <row r="31" spans="1:12" x14ac:dyDescent="0.35">
      <c r="A31" s="30">
        <v>29</v>
      </c>
      <c r="B31" s="30" t="s">
        <v>41</v>
      </c>
      <c r="C31" s="31">
        <v>13</v>
      </c>
      <c r="D31" s="31">
        <v>2</v>
      </c>
      <c r="E31" s="31">
        <v>11</v>
      </c>
      <c r="F31" s="31">
        <v>6</v>
      </c>
      <c r="G31" s="31">
        <v>18</v>
      </c>
      <c r="H31" s="31">
        <v>2</v>
      </c>
      <c r="I31" s="31">
        <v>13</v>
      </c>
      <c r="J31" s="31">
        <v>4</v>
      </c>
      <c r="K31" s="31">
        <v>6</v>
      </c>
      <c r="L31" s="31">
        <v>5</v>
      </c>
    </row>
    <row r="32" spans="1:12" x14ac:dyDescent="0.35">
      <c r="A32" s="30">
        <v>30</v>
      </c>
      <c r="B32" s="30" t="s">
        <v>42</v>
      </c>
      <c r="C32" s="31">
        <v>14</v>
      </c>
      <c r="D32" s="31">
        <v>1</v>
      </c>
      <c r="E32" s="31">
        <v>11</v>
      </c>
      <c r="F32" s="31">
        <v>6</v>
      </c>
      <c r="G32" s="31">
        <v>16</v>
      </c>
      <c r="H32" s="31">
        <v>2</v>
      </c>
      <c r="I32" s="31">
        <v>13</v>
      </c>
      <c r="J32" s="31">
        <v>5</v>
      </c>
      <c r="K32" s="31">
        <v>5</v>
      </c>
      <c r="L32" s="31">
        <v>5</v>
      </c>
    </row>
    <row r="33" spans="1:12" x14ac:dyDescent="0.35">
      <c r="A33" s="30">
        <v>31</v>
      </c>
      <c r="B33" s="30" t="s">
        <v>43</v>
      </c>
      <c r="C33" s="31">
        <v>11</v>
      </c>
      <c r="D33" s="31">
        <v>0</v>
      </c>
      <c r="E33" s="31">
        <v>7</v>
      </c>
      <c r="F33" s="31">
        <v>5</v>
      </c>
      <c r="G33" s="31">
        <v>10</v>
      </c>
      <c r="H33" s="31">
        <v>2</v>
      </c>
      <c r="I33" s="31">
        <v>11</v>
      </c>
      <c r="J33" s="31">
        <v>5</v>
      </c>
      <c r="K33" s="31">
        <v>2</v>
      </c>
      <c r="L33" s="31">
        <v>4</v>
      </c>
    </row>
    <row r="34" spans="1:12" x14ac:dyDescent="0.35">
      <c r="A34" s="30">
        <v>32</v>
      </c>
      <c r="B34" s="30" t="s">
        <v>44</v>
      </c>
      <c r="C34" s="31">
        <v>13</v>
      </c>
      <c r="D34" s="31">
        <v>2</v>
      </c>
      <c r="E34" s="31">
        <v>10</v>
      </c>
      <c r="F34" s="31">
        <v>7</v>
      </c>
      <c r="G34" s="31">
        <v>16</v>
      </c>
      <c r="H34" s="31">
        <v>2</v>
      </c>
      <c r="I34" s="31">
        <v>13</v>
      </c>
      <c r="J34" s="31">
        <v>5</v>
      </c>
      <c r="K34" s="31">
        <v>5</v>
      </c>
      <c r="L34" s="31">
        <v>5</v>
      </c>
    </row>
    <row r="35" spans="1:12" x14ac:dyDescent="0.35">
      <c r="A35" s="30">
        <v>33</v>
      </c>
      <c r="B35" s="30" t="s">
        <v>45</v>
      </c>
      <c r="C35" s="31">
        <v>10</v>
      </c>
      <c r="D35" s="31">
        <v>2</v>
      </c>
      <c r="E35" s="31">
        <v>10</v>
      </c>
      <c r="F35" s="31">
        <v>3</v>
      </c>
      <c r="G35" s="31">
        <v>18</v>
      </c>
      <c r="H35" s="31">
        <v>2</v>
      </c>
      <c r="I35" s="31">
        <v>13</v>
      </c>
      <c r="J35" s="31">
        <v>5</v>
      </c>
      <c r="K35" s="31">
        <v>6</v>
      </c>
      <c r="L35" s="31">
        <v>5</v>
      </c>
    </row>
    <row r="36" spans="1:12" x14ac:dyDescent="0.35">
      <c r="A36" s="30">
        <v>34</v>
      </c>
      <c r="B36" s="30" t="s">
        <v>46</v>
      </c>
      <c r="C36" s="31">
        <v>12</v>
      </c>
      <c r="D36" s="31">
        <v>2</v>
      </c>
      <c r="E36" s="31">
        <v>11</v>
      </c>
      <c r="F36" s="31">
        <v>7</v>
      </c>
      <c r="G36" s="31">
        <v>16</v>
      </c>
      <c r="H36" s="31">
        <v>2</v>
      </c>
      <c r="I36" s="31">
        <v>13</v>
      </c>
      <c r="J36" s="31">
        <v>4</v>
      </c>
      <c r="K36" s="31">
        <v>6</v>
      </c>
      <c r="L36" s="31">
        <v>5</v>
      </c>
    </row>
    <row r="37" spans="1:12" x14ac:dyDescent="0.35">
      <c r="A37" s="30">
        <v>35</v>
      </c>
      <c r="B37" s="30" t="s">
        <v>47</v>
      </c>
      <c r="C37" s="31">
        <v>11</v>
      </c>
      <c r="D37" s="31">
        <v>1</v>
      </c>
      <c r="E37" s="31">
        <v>10</v>
      </c>
      <c r="F37" s="31">
        <v>4</v>
      </c>
      <c r="G37" s="31">
        <v>16</v>
      </c>
      <c r="H37" s="31">
        <v>2</v>
      </c>
      <c r="I37" s="31">
        <v>13</v>
      </c>
      <c r="J37" s="31">
        <v>5</v>
      </c>
      <c r="K37" s="31">
        <v>5</v>
      </c>
      <c r="L37" s="31">
        <v>5</v>
      </c>
    </row>
    <row r="38" spans="1:12" x14ac:dyDescent="0.35">
      <c r="A38" s="30">
        <v>36</v>
      </c>
      <c r="B38" s="30" t="s">
        <v>48</v>
      </c>
      <c r="C38" s="31">
        <v>15</v>
      </c>
      <c r="D38" s="31">
        <v>2</v>
      </c>
      <c r="E38" s="31">
        <v>11</v>
      </c>
      <c r="F38" s="31">
        <v>7</v>
      </c>
      <c r="G38" s="31">
        <v>18</v>
      </c>
      <c r="H38" s="31">
        <v>2</v>
      </c>
      <c r="I38" s="31">
        <v>13</v>
      </c>
      <c r="J38" s="31">
        <v>3</v>
      </c>
      <c r="K38" s="31">
        <v>5</v>
      </c>
      <c r="L38" s="31">
        <v>5</v>
      </c>
    </row>
    <row r="39" spans="1:12" x14ac:dyDescent="0.35">
      <c r="A39" s="30">
        <v>37</v>
      </c>
      <c r="B39" s="30" t="s">
        <v>49</v>
      </c>
      <c r="C39" s="31">
        <v>6</v>
      </c>
      <c r="D39" s="31">
        <v>2</v>
      </c>
      <c r="E39" s="31">
        <v>9</v>
      </c>
      <c r="F39" s="31">
        <v>2</v>
      </c>
      <c r="G39" s="31">
        <v>10</v>
      </c>
      <c r="H39" s="31">
        <v>0</v>
      </c>
      <c r="I39" s="31">
        <v>6</v>
      </c>
      <c r="J39" s="31">
        <v>5</v>
      </c>
      <c r="K39" s="31">
        <v>4</v>
      </c>
      <c r="L39" s="31">
        <v>4</v>
      </c>
    </row>
    <row r="40" spans="1:12" x14ac:dyDescent="0.35">
      <c r="A40" s="30">
        <v>38</v>
      </c>
      <c r="B40" s="30" t="s">
        <v>50</v>
      </c>
      <c r="C40" s="31">
        <v>15</v>
      </c>
      <c r="D40" s="31">
        <v>2</v>
      </c>
      <c r="E40" s="31">
        <v>11</v>
      </c>
      <c r="F40" s="31">
        <v>7</v>
      </c>
      <c r="G40" s="31">
        <v>18</v>
      </c>
      <c r="H40" s="31">
        <v>2</v>
      </c>
      <c r="I40" s="31">
        <v>13</v>
      </c>
      <c r="J40" s="31">
        <v>5</v>
      </c>
      <c r="K40" s="31">
        <v>6</v>
      </c>
      <c r="L40" s="31">
        <v>5</v>
      </c>
    </row>
    <row r="41" spans="1:12" x14ac:dyDescent="0.35">
      <c r="A41" s="30">
        <v>39</v>
      </c>
      <c r="B41" s="30" t="s">
        <v>51</v>
      </c>
      <c r="C41" s="31">
        <v>10</v>
      </c>
      <c r="D41" s="31">
        <v>2</v>
      </c>
      <c r="E41" s="31">
        <v>10</v>
      </c>
      <c r="F41" s="31">
        <v>7</v>
      </c>
      <c r="G41" s="31">
        <v>16</v>
      </c>
      <c r="H41" s="31">
        <v>2</v>
      </c>
      <c r="I41" s="31">
        <v>11</v>
      </c>
      <c r="J41" s="31">
        <v>5</v>
      </c>
      <c r="K41" s="31">
        <v>6</v>
      </c>
      <c r="L41" s="31">
        <v>5</v>
      </c>
    </row>
    <row r="42" spans="1:12" x14ac:dyDescent="0.35">
      <c r="A42" s="30">
        <v>40</v>
      </c>
      <c r="B42" s="30" t="s">
        <v>52</v>
      </c>
      <c r="C42" s="31">
        <v>11</v>
      </c>
      <c r="D42" s="31">
        <v>2</v>
      </c>
      <c r="E42" s="31">
        <v>10</v>
      </c>
      <c r="F42" s="31">
        <v>7</v>
      </c>
      <c r="G42" s="31">
        <v>14</v>
      </c>
      <c r="H42" s="31">
        <v>2</v>
      </c>
      <c r="I42" s="31">
        <v>13</v>
      </c>
      <c r="J42" s="31">
        <v>5</v>
      </c>
      <c r="K42" s="31">
        <v>5</v>
      </c>
      <c r="L42" s="31">
        <v>5</v>
      </c>
    </row>
    <row r="43" spans="1:12" x14ac:dyDescent="0.35">
      <c r="A43" s="30">
        <v>41</v>
      </c>
      <c r="B43" s="30" t="s">
        <v>53</v>
      </c>
      <c r="C43" s="31">
        <v>5</v>
      </c>
      <c r="D43" s="31">
        <v>1</v>
      </c>
      <c r="E43" s="31">
        <v>7</v>
      </c>
      <c r="F43" s="31">
        <v>2</v>
      </c>
      <c r="G43" s="31">
        <v>14</v>
      </c>
      <c r="H43" s="31">
        <v>0</v>
      </c>
      <c r="I43" s="31">
        <v>13</v>
      </c>
      <c r="J43" s="31">
        <v>3</v>
      </c>
      <c r="K43" s="31">
        <v>4</v>
      </c>
      <c r="L43" s="31">
        <v>5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showGridLines="0" workbookViewId="0">
      <pane xSplit="2" ySplit="2" topLeftCell="D3" activePane="bottomRight" state="frozen"/>
      <selection pane="topRight"/>
      <selection pane="bottomLeft"/>
      <selection pane="bottomRight" activeCell="A2" sqref="A2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7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5">
      <c r="A2" s="22" t="s">
        <v>2</v>
      </c>
      <c r="B2" s="22" t="s">
        <v>3</v>
      </c>
      <c r="C2" s="22" t="s">
        <v>55</v>
      </c>
      <c r="D2" s="22" t="s">
        <v>56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61</v>
      </c>
      <c r="J2" s="22" t="s">
        <v>62</v>
      </c>
      <c r="K2" s="22" t="s">
        <v>8</v>
      </c>
      <c r="L2" s="22" t="s">
        <v>9</v>
      </c>
    </row>
    <row r="3" spans="1:12" x14ac:dyDescent="0.35">
      <c r="A3" s="32">
        <v>1</v>
      </c>
      <c r="B3" s="32" t="s">
        <v>13</v>
      </c>
      <c r="C3" s="34">
        <v>13</v>
      </c>
      <c r="D3" s="34">
        <v>2</v>
      </c>
      <c r="E3" s="34">
        <v>10</v>
      </c>
      <c r="F3" s="34">
        <v>6</v>
      </c>
      <c r="G3" s="34">
        <v>13.5</v>
      </c>
      <c r="H3" s="34">
        <v>2.5</v>
      </c>
      <c r="I3" s="34">
        <v>10</v>
      </c>
      <c r="J3" s="34">
        <v>4</v>
      </c>
      <c r="K3" s="34">
        <v>7</v>
      </c>
      <c r="L3" s="34">
        <v>3</v>
      </c>
    </row>
    <row r="4" spans="1:12" x14ac:dyDescent="0.35">
      <c r="A4" s="32">
        <v>2</v>
      </c>
      <c r="B4" s="32" t="s">
        <v>14</v>
      </c>
      <c r="C4" s="34">
        <v>10</v>
      </c>
      <c r="D4" s="34">
        <v>2</v>
      </c>
      <c r="E4" s="34">
        <v>8</v>
      </c>
      <c r="F4" s="34">
        <v>5</v>
      </c>
      <c r="G4" s="34">
        <v>9.5</v>
      </c>
      <c r="H4" s="34">
        <v>2</v>
      </c>
      <c r="I4" s="34">
        <v>10</v>
      </c>
      <c r="J4" s="34">
        <v>4</v>
      </c>
      <c r="K4" s="34">
        <v>5</v>
      </c>
      <c r="L4" s="34">
        <v>3</v>
      </c>
    </row>
    <row r="5" spans="1:12" x14ac:dyDescent="0.35">
      <c r="A5" s="32">
        <v>3</v>
      </c>
      <c r="B5" s="32" t="s">
        <v>15</v>
      </c>
      <c r="C5" s="34">
        <v>10</v>
      </c>
      <c r="D5" s="34">
        <v>2</v>
      </c>
      <c r="E5" s="34">
        <v>8</v>
      </c>
      <c r="F5" s="34">
        <v>5</v>
      </c>
      <c r="G5" s="34">
        <v>9.5</v>
      </c>
      <c r="H5" s="34">
        <v>2</v>
      </c>
      <c r="I5" s="34">
        <v>10</v>
      </c>
      <c r="J5" s="34">
        <v>4</v>
      </c>
      <c r="K5" s="34">
        <v>6</v>
      </c>
      <c r="L5" s="34">
        <v>3</v>
      </c>
    </row>
    <row r="6" spans="1:12" x14ac:dyDescent="0.35">
      <c r="A6" s="32">
        <v>4</v>
      </c>
      <c r="B6" s="32" t="s">
        <v>16</v>
      </c>
      <c r="C6" s="34">
        <v>13</v>
      </c>
      <c r="D6" s="34">
        <v>2</v>
      </c>
      <c r="E6" s="34">
        <v>10</v>
      </c>
      <c r="F6" s="34">
        <v>6</v>
      </c>
      <c r="G6" s="34">
        <v>13.5</v>
      </c>
      <c r="H6" s="34">
        <v>2.5</v>
      </c>
      <c r="I6" s="34">
        <v>10</v>
      </c>
      <c r="J6" s="34">
        <v>4</v>
      </c>
      <c r="K6" s="34">
        <v>7</v>
      </c>
      <c r="L6" s="34">
        <v>3</v>
      </c>
    </row>
    <row r="7" spans="1:12" x14ac:dyDescent="0.35">
      <c r="A7" s="32">
        <v>5</v>
      </c>
      <c r="B7" s="32" t="s">
        <v>17</v>
      </c>
      <c r="C7" s="34">
        <v>12</v>
      </c>
      <c r="D7" s="34">
        <v>2</v>
      </c>
      <c r="E7" s="34">
        <v>7</v>
      </c>
      <c r="F7" s="34">
        <v>6</v>
      </c>
      <c r="G7" s="34">
        <v>11.5</v>
      </c>
      <c r="H7" s="34">
        <v>2.5</v>
      </c>
      <c r="I7" s="34">
        <v>8</v>
      </c>
      <c r="J7" s="34">
        <v>4</v>
      </c>
      <c r="K7" s="34">
        <v>5</v>
      </c>
      <c r="L7" s="34">
        <v>2</v>
      </c>
    </row>
    <row r="8" spans="1:12" x14ac:dyDescent="0.35">
      <c r="A8" s="32">
        <v>6</v>
      </c>
      <c r="B8" s="32" t="s">
        <v>18</v>
      </c>
      <c r="C8" s="34">
        <v>12</v>
      </c>
      <c r="D8" s="34">
        <v>2</v>
      </c>
      <c r="E8" s="34">
        <v>9</v>
      </c>
      <c r="F8" s="34">
        <v>6</v>
      </c>
      <c r="G8" s="34">
        <v>11.5</v>
      </c>
      <c r="H8" s="34">
        <v>2.5</v>
      </c>
      <c r="I8" s="34">
        <v>10</v>
      </c>
      <c r="J8" s="34">
        <v>4</v>
      </c>
      <c r="K8" s="34">
        <v>6</v>
      </c>
      <c r="L8" s="34">
        <v>3</v>
      </c>
    </row>
    <row r="9" spans="1:12" x14ac:dyDescent="0.35">
      <c r="A9" s="32">
        <v>7</v>
      </c>
      <c r="B9" s="32" t="s">
        <v>19</v>
      </c>
      <c r="C9" s="34">
        <v>12</v>
      </c>
      <c r="D9" s="34">
        <v>0</v>
      </c>
      <c r="E9" s="34">
        <v>10</v>
      </c>
      <c r="F9" s="34">
        <v>3</v>
      </c>
      <c r="G9" s="34">
        <v>11.5</v>
      </c>
      <c r="H9" s="34">
        <v>2.5</v>
      </c>
      <c r="I9" s="34">
        <v>8</v>
      </c>
      <c r="J9" s="34">
        <v>4</v>
      </c>
      <c r="K9" s="34">
        <v>6</v>
      </c>
      <c r="L9" s="34">
        <v>3</v>
      </c>
    </row>
    <row r="10" spans="1:12" x14ac:dyDescent="0.35">
      <c r="A10" s="32">
        <v>8</v>
      </c>
      <c r="B10" s="32" t="s">
        <v>20</v>
      </c>
      <c r="C10" s="34">
        <v>13</v>
      </c>
      <c r="D10" s="34">
        <v>2</v>
      </c>
      <c r="E10" s="34">
        <v>9</v>
      </c>
      <c r="F10" s="34">
        <v>6</v>
      </c>
      <c r="G10" s="34">
        <v>10</v>
      </c>
      <c r="H10" s="34">
        <v>2</v>
      </c>
      <c r="I10" s="34">
        <v>8</v>
      </c>
      <c r="J10" s="34">
        <v>4</v>
      </c>
      <c r="K10" s="34">
        <v>7</v>
      </c>
      <c r="L10" s="34">
        <v>2</v>
      </c>
    </row>
    <row r="11" spans="1:12" x14ac:dyDescent="0.35">
      <c r="A11" s="32">
        <v>9</v>
      </c>
      <c r="B11" s="32" t="s">
        <v>21</v>
      </c>
      <c r="C11" s="34">
        <v>12</v>
      </c>
      <c r="D11" s="34">
        <v>2</v>
      </c>
      <c r="E11" s="34">
        <v>10</v>
      </c>
      <c r="F11" s="34">
        <v>5</v>
      </c>
      <c r="G11" s="34">
        <v>11.5</v>
      </c>
      <c r="H11" s="34">
        <v>2.5</v>
      </c>
      <c r="I11" s="34">
        <v>10</v>
      </c>
      <c r="J11" s="34">
        <v>4</v>
      </c>
      <c r="K11" s="34">
        <v>6</v>
      </c>
      <c r="L11" s="34">
        <v>3</v>
      </c>
    </row>
    <row r="12" spans="1:12" x14ac:dyDescent="0.35">
      <c r="A12" s="32">
        <v>10</v>
      </c>
      <c r="B12" s="32" t="s">
        <v>22</v>
      </c>
      <c r="C12" s="34">
        <v>14</v>
      </c>
      <c r="D12" s="34">
        <v>2</v>
      </c>
      <c r="E12" s="34">
        <v>10</v>
      </c>
      <c r="F12" s="34">
        <v>6</v>
      </c>
      <c r="G12" s="34">
        <v>12</v>
      </c>
      <c r="H12" s="34">
        <v>2</v>
      </c>
      <c r="I12" s="34">
        <v>10</v>
      </c>
      <c r="J12" s="34">
        <v>4</v>
      </c>
      <c r="K12" s="34">
        <v>7</v>
      </c>
      <c r="L12" s="34">
        <v>3</v>
      </c>
    </row>
    <row r="13" spans="1:12" x14ac:dyDescent="0.35">
      <c r="A13" s="32">
        <v>11</v>
      </c>
      <c r="B13" s="32" t="s">
        <v>23</v>
      </c>
      <c r="C13" s="34">
        <v>11</v>
      </c>
      <c r="D13" s="34">
        <v>2</v>
      </c>
      <c r="E13" s="34">
        <v>8</v>
      </c>
      <c r="F13" s="34">
        <v>4</v>
      </c>
      <c r="G13" s="34">
        <v>10</v>
      </c>
      <c r="H13" s="34">
        <v>0</v>
      </c>
      <c r="I13" s="34">
        <v>8</v>
      </c>
      <c r="J13" s="34">
        <v>4</v>
      </c>
      <c r="K13" s="34">
        <v>4</v>
      </c>
      <c r="L13" s="34">
        <v>3</v>
      </c>
    </row>
    <row r="14" spans="1:12" x14ac:dyDescent="0.35">
      <c r="A14" s="32">
        <v>12</v>
      </c>
      <c r="B14" s="32" t="s">
        <v>24</v>
      </c>
      <c r="C14" s="34">
        <v>11</v>
      </c>
      <c r="D14" s="34">
        <v>2</v>
      </c>
      <c r="E14" s="34">
        <v>10</v>
      </c>
      <c r="F14" s="34">
        <v>4</v>
      </c>
      <c r="G14" s="34">
        <v>9.5</v>
      </c>
      <c r="H14" s="34">
        <v>2.5</v>
      </c>
      <c r="I14" s="34">
        <v>10</v>
      </c>
      <c r="J14" s="34">
        <v>4</v>
      </c>
      <c r="K14" s="34">
        <v>5</v>
      </c>
      <c r="L14" s="34">
        <v>3</v>
      </c>
    </row>
    <row r="15" spans="1:12" x14ac:dyDescent="0.35">
      <c r="A15" s="32">
        <v>13</v>
      </c>
      <c r="B15" s="32" t="s">
        <v>25</v>
      </c>
      <c r="C15" s="34">
        <v>14</v>
      </c>
      <c r="D15" s="34">
        <v>2</v>
      </c>
      <c r="E15" s="34">
        <v>9</v>
      </c>
      <c r="F15" s="34">
        <v>6</v>
      </c>
      <c r="G15" s="34">
        <v>12</v>
      </c>
      <c r="H15" s="34">
        <v>2</v>
      </c>
      <c r="I15" s="34">
        <v>8</v>
      </c>
      <c r="J15" s="34">
        <v>4</v>
      </c>
      <c r="K15" s="34">
        <v>7</v>
      </c>
      <c r="L15" s="34">
        <v>3</v>
      </c>
    </row>
    <row r="16" spans="1:12" x14ac:dyDescent="0.35">
      <c r="A16" s="32">
        <v>14</v>
      </c>
      <c r="B16" s="32" t="s">
        <v>26</v>
      </c>
      <c r="C16" s="34">
        <v>13</v>
      </c>
      <c r="D16" s="34">
        <v>2</v>
      </c>
      <c r="E16" s="34">
        <v>10</v>
      </c>
      <c r="F16" s="34">
        <v>5</v>
      </c>
      <c r="G16" s="34">
        <v>13.5</v>
      </c>
      <c r="H16" s="34">
        <v>0.5</v>
      </c>
      <c r="I16" s="34">
        <v>10</v>
      </c>
      <c r="J16" s="34">
        <v>4</v>
      </c>
      <c r="K16" s="34">
        <v>6</v>
      </c>
      <c r="L16" s="34">
        <v>3</v>
      </c>
    </row>
    <row r="17" spans="1:12" x14ac:dyDescent="0.35">
      <c r="A17" s="32">
        <v>15</v>
      </c>
      <c r="B17" s="32" t="s">
        <v>27</v>
      </c>
      <c r="C17" s="34">
        <v>11</v>
      </c>
      <c r="D17" s="34">
        <v>2</v>
      </c>
      <c r="E17" s="34">
        <v>10</v>
      </c>
      <c r="F17" s="34">
        <v>5</v>
      </c>
      <c r="G17" s="34">
        <v>11.5</v>
      </c>
      <c r="H17" s="34">
        <v>2.5</v>
      </c>
      <c r="I17" s="34">
        <v>10</v>
      </c>
      <c r="J17" s="34">
        <v>4</v>
      </c>
      <c r="K17" s="34">
        <v>6</v>
      </c>
      <c r="L17" s="34">
        <v>3</v>
      </c>
    </row>
    <row r="18" spans="1:12" x14ac:dyDescent="0.35">
      <c r="A18" s="32">
        <v>16</v>
      </c>
      <c r="B18" s="32" t="s">
        <v>28</v>
      </c>
      <c r="C18" s="34">
        <v>13</v>
      </c>
      <c r="D18" s="34">
        <v>2</v>
      </c>
      <c r="E18" s="34">
        <v>8</v>
      </c>
      <c r="F18" s="34">
        <v>6</v>
      </c>
      <c r="G18" s="34">
        <v>13.5</v>
      </c>
      <c r="H18" s="34">
        <v>2.5</v>
      </c>
      <c r="I18" s="34">
        <v>8</v>
      </c>
      <c r="J18" s="34">
        <v>4</v>
      </c>
      <c r="K18" s="34">
        <v>5</v>
      </c>
      <c r="L18" s="34">
        <v>2</v>
      </c>
    </row>
    <row r="19" spans="1:12" x14ac:dyDescent="0.35">
      <c r="A19" s="32">
        <v>17</v>
      </c>
      <c r="B19" s="32" t="s">
        <v>29</v>
      </c>
      <c r="C19" s="34">
        <v>13</v>
      </c>
      <c r="D19" s="34">
        <v>2</v>
      </c>
      <c r="E19" s="34">
        <v>8</v>
      </c>
      <c r="F19" s="34">
        <v>6</v>
      </c>
      <c r="G19" s="34">
        <v>13.5</v>
      </c>
      <c r="H19" s="34">
        <v>2.5</v>
      </c>
      <c r="I19" s="34">
        <v>8</v>
      </c>
      <c r="J19" s="34">
        <v>4</v>
      </c>
      <c r="K19" s="34">
        <v>4</v>
      </c>
      <c r="L19" s="34">
        <v>2</v>
      </c>
    </row>
    <row r="20" spans="1:12" x14ac:dyDescent="0.35">
      <c r="A20" s="32">
        <v>18</v>
      </c>
      <c r="B20" s="32" t="s">
        <v>30</v>
      </c>
      <c r="C20" s="34">
        <v>14</v>
      </c>
      <c r="D20" s="34">
        <v>2</v>
      </c>
      <c r="E20" s="34">
        <v>10</v>
      </c>
      <c r="F20" s="34">
        <v>6</v>
      </c>
      <c r="G20" s="34">
        <v>13.5</v>
      </c>
      <c r="H20" s="34">
        <v>2.5</v>
      </c>
      <c r="I20" s="34">
        <v>10</v>
      </c>
      <c r="J20" s="34">
        <v>4</v>
      </c>
      <c r="K20" s="34">
        <v>7</v>
      </c>
      <c r="L20" s="34">
        <v>3</v>
      </c>
    </row>
    <row r="21" spans="1:12" x14ac:dyDescent="0.35">
      <c r="A21" s="32">
        <v>19</v>
      </c>
      <c r="B21" s="32" t="s">
        <v>31</v>
      </c>
      <c r="C21" s="34">
        <v>12</v>
      </c>
      <c r="D21" s="34">
        <v>0</v>
      </c>
      <c r="E21" s="34">
        <v>10</v>
      </c>
      <c r="F21" s="34">
        <v>4</v>
      </c>
      <c r="G21" s="34">
        <v>13.5</v>
      </c>
      <c r="H21" s="34">
        <v>2.5</v>
      </c>
      <c r="I21" s="34">
        <v>8</v>
      </c>
      <c r="J21" s="34">
        <v>4</v>
      </c>
      <c r="K21" s="34">
        <v>7</v>
      </c>
      <c r="L21" s="34">
        <v>3</v>
      </c>
    </row>
    <row r="22" spans="1:12" x14ac:dyDescent="0.35">
      <c r="A22" s="32">
        <v>20</v>
      </c>
      <c r="B22" s="32" t="s">
        <v>32</v>
      </c>
      <c r="C22" s="34">
        <v>12</v>
      </c>
      <c r="D22" s="34">
        <v>2</v>
      </c>
      <c r="E22" s="34">
        <v>9</v>
      </c>
      <c r="F22" s="34">
        <v>4</v>
      </c>
      <c r="G22" s="34">
        <v>9.5</v>
      </c>
      <c r="H22" s="34">
        <v>2.5</v>
      </c>
      <c r="I22" s="34">
        <v>10</v>
      </c>
      <c r="J22" s="34">
        <v>4</v>
      </c>
      <c r="K22" s="34">
        <v>5</v>
      </c>
      <c r="L22" s="34">
        <v>3</v>
      </c>
    </row>
    <row r="23" spans="1:12" x14ac:dyDescent="0.35">
      <c r="A23" s="32">
        <v>21</v>
      </c>
      <c r="B23" s="32" t="s">
        <v>33</v>
      </c>
      <c r="C23" s="34">
        <v>14</v>
      </c>
      <c r="D23" s="34">
        <v>0</v>
      </c>
      <c r="E23" s="34">
        <v>8</v>
      </c>
      <c r="F23" s="34">
        <v>4</v>
      </c>
      <c r="G23" s="34">
        <v>9.5</v>
      </c>
      <c r="H23" s="34">
        <v>2.5</v>
      </c>
      <c r="I23" s="34">
        <v>8</v>
      </c>
      <c r="J23" s="34">
        <v>2</v>
      </c>
      <c r="K23" s="34">
        <v>5</v>
      </c>
      <c r="L23" s="34">
        <v>2</v>
      </c>
    </row>
    <row r="24" spans="1:12" x14ac:dyDescent="0.35">
      <c r="A24" s="32">
        <v>22</v>
      </c>
      <c r="B24" s="32" t="s">
        <v>34</v>
      </c>
      <c r="C24" s="34">
        <v>12</v>
      </c>
      <c r="D24" s="34">
        <v>2</v>
      </c>
      <c r="E24" s="34">
        <v>9</v>
      </c>
      <c r="F24" s="34">
        <v>5</v>
      </c>
      <c r="G24" s="34">
        <v>13.5</v>
      </c>
      <c r="H24" s="34">
        <v>2.5</v>
      </c>
      <c r="I24" s="34">
        <v>10</v>
      </c>
      <c r="J24" s="34">
        <v>4</v>
      </c>
      <c r="K24" s="34">
        <v>5</v>
      </c>
      <c r="L24" s="34">
        <v>3</v>
      </c>
    </row>
    <row r="25" spans="1:12" x14ac:dyDescent="0.35">
      <c r="A25" s="32">
        <v>23</v>
      </c>
      <c r="B25" s="32" t="s">
        <v>35</v>
      </c>
      <c r="C25" s="34">
        <v>13</v>
      </c>
      <c r="D25" s="34">
        <v>2</v>
      </c>
      <c r="E25" s="34">
        <v>9</v>
      </c>
      <c r="F25" s="34">
        <v>6</v>
      </c>
      <c r="G25" s="34">
        <v>10</v>
      </c>
      <c r="H25" s="34">
        <v>2</v>
      </c>
      <c r="I25" s="34">
        <v>10</v>
      </c>
      <c r="J25" s="34">
        <v>4</v>
      </c>
      <c r="K25" s="34">
        <v>6</v>
      </c>
      <c r="L25" s="34">
        <v>3</v>
      </c>
    </row>
    <row r="26" spans="1:12" x14ac:dyDescent="0.35">
      <c r="A26" s="32">
        <v>24</v>
      </c>
      <c r="B26" s="32" t="s">
        <v>36</v>
      </c>
      <c r="C26" s="34">
        <v>12</v>
      </c>
      <c r="D26" s="34">
        <v>2</v>
      </c>
      <c r="E26" s="34">
        <v>10</v>
      </c>
      <c r="F26" s="34">
        <v>5</v>
      </c>
      <c r="G26" s="34">
        <v>11.5</v>
      </c>
      <c r="H26" s="34">
        <v>2.5</v>
      </c>
      <c r="I26" s="34">
        <v>10</v>
      </c>
      <c r="J26" s="34">
        <v>4</v>
      </c>
      <c r="K26" s="34">
        <v>5</v>
      </c>
      <c r="L26" s="34">
        <v>3</v>
      </c>
    </row>
    <row r="27" spans="1:12" x14ac:dyDescent="0.35">
      <c r="A27" s="32">
        <v>25</v>
      </c>
      <c r="B27" s="32" t="s">
        <v>37</v>
      </c>
      <c r="C27" s="34">
        <v>11</v>
      </c>
      <c r="D27" s="34">
        <v>2</v>
      </c>
      <c r="E27" s="34">
        <v>9</v>
      </c>
      <c r="F27" s="34">
        <v>6</v>
      </c>
      <c r="G27" s="34">
        <v>11.5</v>
      </c>
      <c r="H27" s="34">
        <v>2.5</v>
      </c>
      <c r="I27" s="34">
        <v>10</v>
      </c>
      <c r="J27" s="34">
        <v>4</v>
      </c>
      <c r="K27" s="34">
        <v>6</v>
      </c>
      <c r="L27" s="34">
        <v>3</v>
      </c>
    </row>
    <row r="28" spans="1:12" x14ac:dyDescent="0.35">
      <c r="A28" s="32">
        <v>26</v>
      </c>
      <c r="B28" s="32" t="s">
        <v>38</v>
      </c>
      <c r="C28" s="34">
        <v>12</v>
      </c>
      <c r="D28" s="34">
        <v>2</v>
      </c>
      <c r="E28" s="34">
        <v>9</v>
      </c>
      <c r="F28" s="34">
        <v>6</v>
      </c>
      <c r="G28" s="34">
        <v>11.5</v>
      </c>
      <c r="H28" s="34">
        <v>2.5</v>
      </c>
      <c r="I28" s="34">
        <v>10</v>
      </c>
      <c r="J28" s="34">
        <v>4</v>
      </c>
      <c r="K28" s="34">
        <v>6</v>
      </c>
      <c r="L28" s="34">
        <v>3</v>
      </c>
    </row>
    <row r="29" spans="1:12" x14ac:dyDescent="0.35">
      <c r="A29" s="32">
        <v>27</v>
      </c>
      <c r="B29" s="32" t="s">
        <v>39</v>
      </c>
      <c r="C29" s="34">
        <v>14</v>
      </c>
      <c r="D29" s="34">
        <v>2</v>
      </c>
      <c r="E29" s="34">
        <v>10</v>
      </c>
      <c r="F29" s="34">
        <v>6</v>
      </c>
      <c r="G29" s="34">
        <v>13.5</v>
      </c>
      <c r="H29" s="34">
        <v>2.5</v>
      </c>
      <c r="I29" s="34">
        <v>10</v>
      </c>
      <c r="J29" s="34">
        <v>4</v>
      </c>
      <c r="K29" s="34">
        <v>7</v>
      </c>
      <c r="L29" s="34">
        <v>3</v>
      </c>
    </row>
    <row r="30" spans="1:12" x14ac:dyDescent="0.35">
      <c r="A30" s="32">
        <v>28</v>
      </c>
      <c r="B30" s="32" t="s">
        <v>40</v>
      </c>
      <c r="C30" s="34">
        <v>12</v>
      </c>
      <c r="D30" s="34">
        <v>2</v>
      </c>
      <c r="E30" s="34">
        <v>7</v>
      </c>
      <c r="F30" s="34">
        <v>6</v>
      </c>
      <c r="G30" s="34">
        <v>11.5</v>
      </c>
      <c r="H30" s="34">
        <v>2.5</v>
      </c>
      <c r="I30" s="34">
        <v>8</v>
      </c>
      <c r="J30" s="34">
        <v>4</v>
      </c>
      <c r="K30" s="34">
        <v>4</v>
      </c>
      <c r="L30" s="34">
        <v>2</v>
      </c>
    </row>
    <row r="31" spans="1:12" x14ac:dyDescent="0.35">
      <c r="A31" s="32">
        <v>29</v>
      </c>
      <c r="B31" s="32" t="s">
        <v>41</v>
      </c>
      <c r="C31" s="34">
        <v>11</v>
      </c>
      <c r="D31" s="34">
        <v>2</v>
      </c>
      <c r="E31" s="34">
        <v>10</v>
      </c>
      <c r="F31" s="34">
        <v>6</v>
      </c>
      <c r="G31" s="34">
        <v>11.5</v>
      </c>
      <c r="H31" s="34">
        <v>0.5</v>
      </c>
      <c r="I31" s="34">
        <v>10</v>
      </c>
      <c r="J31" s="34">
        <v>4</v>
      </c>
      <c r="K31" s="34">
        <v>5</v>
      </c>
      <c r="L31" s="34">
        <v>3</v>
      </c>
    </row>
    <row r="32" spans="1:12" x14ac:dyDescent="0.35">
      <c r="A32" s="32">
        <v>30</v>
      </c>
      <c r="B32" s="32" t="s">
        <v>42</v>
      </c>
      <c r="C32" s="34">
        <v>13</v>
      </c>
      <c r="D32" s="34">
        <v>2</v>
      </c>
      <c r="E32" s="34">
        <v>10</v>
      </c>
      <c r="F32" s="34">
        <v>6</v>
      </c>
      <c r="G32" s="34">
        <v>13.5</v>
      </c>
      <c r="H32" s="34">
        <v>2.5</v>
      </c>
      <c r="I32" s="34">
        <v>10</v>
      </c>
      <c r="J32" s="34">
        <v>4</v>
      </c>
      <c r="K32" s="34">
        <v>7</v>
      </c>
      <c r="L32" s="34">
        <v>3</v>
      </c>
    </row>
    <row r="33" spans="1:12" x14ac:dyDescent="0.35">
      <c r="A33" s="32">
        <v>31</v>
      </c>
      <c r="B33" s="32" t="s">
        <v>43</v>
      </c>
      <c r="C33" s="34">
        <v>14</v>
      </c>
      <c r="D33" s="34">
        <v>2</v>
      </c>
      <c r="E33" s="34">
        <v>10</v>
      </c>
      <c r="F33" s="34">
        <v>6</v>
      </c>
      <c r="G33" s="34">
        <v>13.5</v>
      </c>
      <c r="H33" s="34">
        <v>2.5</v>
      </c>
      <c r="I33" s="34">
        <v>10</v>
      </c>
      <c r="J33" s="34">
        <v>4</v>
      </c>
      <c r="K33" s="34">
        <v>7</v>
      </c>
      <c r="L33" s="34">
        <v>3</v>
      </c>
    </row>
    <row r="34" spans="1:12" x14ac:dyDescent="0.35">
      <c r="A34" s="32">
        <v>32</v>
      </c>
      <c r="B34" s="32" t="s">
        <v>44</v>
      </c>
      <c r="C34" s="34">
        <v>11</v>
      </c>
      <c r="D34" s="34">
        <v>2</v>
      </c>
      <c r="E34" s="34">
        <v>10</v>
      </c>
      <c r="F34" s="34">
        <v>3</v>
      </c>
      <c r="G34" s="34">
        <v>11.5</v>
      </c>
      <c r="H34" s="34">
        <v>0.5</v>
      </c>
      <c r="I34" s="34">
        <v>10</v>
      </c>
      <c r="J34" s="34">
        <v>4</v>
      </c>
      <c r="K34" s="34">
        <v>6</v>
      </c>
      <c r="L34" s="34">
        <v>3</v>
      </c>
    </row>
    <row r="35" spans="1:12" x14ac:dyDescent="0.35">
      <c r="A35" s="32">
        <v>33</v>
      </c>
      <c r="B35" s="32" t="s">
        <v>45</v>
      </c>
      <c r="C35" s="34">
        <v>12</v>
      </c>
      <c r="D35" s="34">
        <v>2</v>
      </c>
      <c r="E35" s="34">
        <v>10</v>
      </c>
      <c r="F35" s="34">
        <v>5</v>
      </c>
      <c r="G35" s="34">
        <v>11.5</v>
      </c>
      <c r="H35" s="34">
        <v>0.5</v>
      </c>
      <c r="I35" s="34">
        <v>10</v>
      </c>
      <c r="J35" s="34">
        <v>4</v>
      </c>
      <c r="K35" s="34">
        <v>6</v>
      </c>
      <c r="L35" s="34">
        <v>3</v>
      </c>
    </row>
    <row r="36" spans="1:12" x14ac:dyDescent="0.35">
      <c r="A36" s="32">
        <v>34</v>
      </c>
      <c r="B36" s="32" t="s">
        <v>46</v>
      </c>
      <c r="C36" s="34">
        <v>11</v>
      </c>
      <c r="D36" s="34">
        <v>2</v>
      </c>
      <c r="E36" s="34">
        <v>10</v>
      </c>
      <c r="F36" s="34">
        <v>6</v>
      </c>
      <c r="G36" s="34">
        <v>12</v>
      </c>
      <c r="H36" s="34">
        <v>2</v>
      </c>
      <c r="I36" s="34">
        <v>10</v>
      </c>
      <c r="J36" s="34">
        <v>3</v>
      </c>
      <c r="K36" s="34">
        <v>6</v>
      </c>
      <c r="L36" s="34">
        <v>3</v>
      </c>
    </row>
    <row r="37" spans="1:12" x14ac:dyDescent="0.35">
      <c r="A37" s="32">
        <v>35</v>
      </c>
      <c r="B37" s="32" t="s">
        <v>47</v>
      </c>
      <c r="C37" s="34">
        <v>13</v>
      </c>
      <c r="D37" s="34">
        <v>2</v>
      </c>
      <c r="E37" s="34">
        <v>10</v>
      </c>
      <c r="F37" s="34">
        <v>5</v>
      </c>
      <c r="G37" s="34">
        <v>13.5</v>
      </c>
      <c r="H37" s="34">
        <v>0.5</v>
      </c>
      <c r="I37" s="34">
        <v>10</v>
      </c>
      <c r="J37" s="34">
        <v>4</v>
      </c>
      <c r="K37" s="34">
        <v>5</v>
      </c>
      <c r="L37" s="34">
        <v>3</v>
      </c>
    </row>
    <row r="38" spans="1:12" x14ac:dyDescent="0.35">
      <c r="A38" s="32">
        <v>36</v>
      </c>
      <c r="B38" s="32" t="s">
        <v>48</v>
      </c>
      <c r="C38" s="34">
        <v>12</v>
      </c>
      <c r="D38" s="34">
        <v>2</v>
      </c>
      <c r="E38" s="34">
        <v>10</v>
      </c>
      <c r="F38" s="34">
        <v>5</v>
      </c>
      <c r="G38" s="34">
        <v>11.5</v>
      </c>
      <c r="H38" s="34">
        <v>2.5</v>
      </c>
      <c r="I38" s="34">
        <v>10</v>
      </c>
      <c r="J38" s="34">
        <v>4</v>
      </c>
      <c r="K38" s="34">
        <v>5</v>
      </c>
      <c r="L38" s="34">
        <v>3</v>
      </c>
    </row>
    <row r="39" spans="1:12" x14ac:dyDescent="0.35">
      <c r="A39" s="32">
        <v>37</v>
      </c>
      <c r="B39" s="32" t="s">
        <v>49</v>
      </c>
      <c r="C39" s="34">
        <v>13</v>
      </c>
      <c r="D39" s="34">
        <v>2</v>
      </c>
      <c r="E39" s="34">
        <v>10</v>
      </c>
      <c r="F39" s="34">
        <v>6</v>
      </c>
      <c r="G39" s="34">
        <v>13.5</v>
      </c>
      <c r="H39" s="34">
        <v>2.5</v>
      </c>
      <c r="I39" s="34">
        <v>10</v>
      </c>
      <c r="J39" s="34">
        <v>3</v>
      </c>
      <c r="K39" s="34">
        <v>4</v>
      </c>
      <c r="L39" s="34">
        <v>3</v>
      </c>
    </row>
    <row r="40" spans="1:12" x14ac:dyDescent="0.35">
      <c r="A40" s="32">
        <v>38</v>
      </c>
      <c r="B40" s="32" t="s">
        <v>50</v>
      </c>
      <c r="C40" s="34">
        <v>12</v>
      </c>
      <c r="D40" s="34">
        <v>2</v>
      </c>
      <c r="E40" s="34">
        <v>9</v>
      </c>
      <c r="F40" s="34">
        <v>5</v>
      </c>
      <c r="G40" s="34">
        <v>9.5</v>
      </c>
      <c r="H40" s="34">
        <v>2.5</v>
      </c>
      <c r="I40" s="34">
        <v>8</v>
      </c>
      <c r="J40" s="34">
        <v>4</v>
      </c>
      <c r="K40" s="34">
        <v>6</v>
      </c>
      <c r="L40" s="34">
        <v>3</v>
      </c>
    </row>
    <row r="41" spans="1:12" x14ac:dyDescent="0.35">
      <c r="A41" s="32">
        <v>39</v>
      </c>
      <c r="B41" s="32" t="s">
        <v>51</v>
      </c>
      <c r="C41" s="34">
        <v>12</v>
      </c>
      <c r="D41" s="34">
        <v>2</v>
      </c>
      <c r="E41" s="34">
        <v>10</v>
      </c>
      <c r="F41" s="34">
        <v>5</v>
      </c>
      <c r="G41" s="34">
        <v>13.5</v>
      </c>
      <c r="H41" s="34">
        <v>2.5</v>
      </c>
      <c r="I41" s="34">
        <v>10</v>
      </c>
      <c r="J41" s="34">
        <v>4</v>
      </c>
      <c r="K41" s="34">
        <v>6</v>
      </c>
      <c r="L41" s="34">
        <v>3</v>
      </c>
    </row>
    <row r="42" spans="1:12" x14ac:dyDescent="0.35">
      <c r="A42" s="32">
        <v>40</v>
      </c>
      <c r="B42" s="32" t="s">
        <v>52</v>
      </c>
      <c r="C42" s="34">
        <v>14</v>
      </c>
      <c r="D42" s="34">
        <v>2</v>
      </c>
      <c r="E42" s="34">
        <v>9</v>
      </c>
      <c r="F42" s="34">
        <v>5</v>
      </c>
      <c r="G42" s="34">
        <v>10</v>
      </c>
      <c r="H42" s="34">
        <v>2</v>
      </c>
      <c r="I42" s="34">
        <v>8</v>
      </c>
      <c r="J42" s="34">
        <v>4</v>
      </c>
      <c r="K42" s="34">
        <v>5</v>
      </c>
      <c r="L42" s="34">
        <v>3</v>
      </c>
    </row>
    <row r="43" spans="1:12" x14ac:dyDescent="0.35">
      <c r="A43" s="32">
        <v>41</v>
      </c>
      <c r="B43" s="32" t="s">
        <v>53</v>
      </c>
      <c r="C43" s="34">
        <v>13</v>
      </c>
      <c r="D43" s="34">
        <v>2</v>
      </c>
      <c r="E43" s="34">
        <v>6</v>
      </c>
      <c r="F43" s="34">
        <v>5</v>
      </c>
      <c r="G43" s="34">
        <v>8</v>
      </c>
      <c r="H43" s="34">
        <v>2</v>
      </c>
      <c r="I43" s="34">
        <v>6</v>
      </c>
      <c r="J43" s="34">
        <v>2</v>
      </c>
      <c r="K43" s="34">
        <v>4</v>
      </c>
      <c r="L43" s="34">
        <v>2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3"/>
  <sheetViews>
    <sheetView showGridLines="0" workbookViewId="0">
      <pane xSplit="2" ySplit="2" topLeftCell="D3" activePane="bottomRight" state="frozen"/>
      <selection pane="topRight"/>
      <selection pane="bottomLeft"/>
      <selection pane="bottomRight" sqref="A1:L1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9" t="s">
        <v>65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3" t="s">
        <v>2</v>
      </c>
      <c r="B2" s="23" t="s">
        <v>3</v>
      </c>
      <c r="C2" s="23" t="s">
        <v>55</v>
      </c>
      <c r="D2" s="23" t="s">
        <v>56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61</v>
      </c>
      <c r="J2" s="23" t="s">
        <v>62</v>
      </c>
      <c r="K2" s="23" t="s">
        <v>8</v>
      </c>
      <c r="L2" s="23" t="s">
        <v>9</v>
      </c>
    </row>
    <row r="3" spans="1:12" x14ac:dyDescent="0.35">
      <c r="A3" s="30">
        <v>1</v>
      </c>
      <c r="B3" s="30" t="s">
        <v>13</v>
      </c>
      <c r="C3" s="33">
        <v>11</v>
      </c>
      <c r="D3" s="31">
        <v>0</v>
      </c>
      <c r="E3" s="31">
        <v>11</v>
      </c>
      <c r="F3" s="31">
        <v>2</v>
      </c>
      <c r="G3" s="31">
        <v>9</v>
      </c>
      <c r="H3" s="31">
        <v>6</v>
      </c>
      <c r="I3" s="31">
        <v>13</v>
      </c>
      <c r="J3" s="31">
        <v>0</v>
      </c>
      <c r="K3" s="31">
        <v>3</v>
      </c>
      <c r="L3" s="31">
        <v>2</v>
      </c>
    </row>
    <row r="4" spans="1:12" x14ac:dyDescent="0.35">
      <c r="A4" s="30">
        <v>2</v>
      </c>
      <c r="B4" s="30" t="s">
        <v>14</v>
      </c>
      <c r="C4" s="33">
        <v>12</v>
      </c>
      <c r="D4" s="31">
        <v>1</v>
      </c>
      <c r="E4" s="31">
        <v>12</v>
      </c>
      <c r="F4" s="31">
        <v>2</v>
      </c>
      <c r="G4" s="31">
        <v>9</v>
      </c>
      <c r="H4" s="31">
        <v>6</v>
      </c>
      <c r="I4" s="31">
        <v>16</v>
      </c>
      <c r="J4" s="31">
        <v>0</v>
      </c>
      <c r="K4" s="31">
        <v>3</v>
      </c>
      <c r="L4" s="31">
        <v>2</v>
      </c>
    </row>
    <row r="5" spans="1:12" x14ac:dyDescent="0.35">
      <c r="A5" s="30">
        <v>3</v>
      </c>
      <c r="B5" s="30" t="s">
        <v>15</v>
      </c>
      <c r="C5" s="33">
        <v>8</v>
      </c>
      <c r="D5" s="31">
        <v>1</v>
      </c>
      <c r="E5" s="31">
        <v>7</v>
      </c>
      <c r="F5" s="31">
        <v>2</v>
      </c>
      <c r="G5" s="31">
        <v>5</v>
      </c>
      <c r="H5" s="31">
        <v>6</v>
      </c>
      <c r="I5" s="31">
        <v>12</v>
      </c>
      <c r="J5" s="31">
        <v>0</v>
      </c>
      <c r="K5" s="31">
        <v>2</v>
      </c>
      <c r="L5" s="31">
        <v>2</v>
      </c>
    </row>
    <row r="6" spans="1:12" x14ac:dyDescent="0.35">
      <c r="A6" s="30">
        <v>4</v>
      </c>
      <c r="B6" s="30" t="s">
        <v>16</v>
      </c>
      <c r="C6" s="33">
        <v>12</v>
      </c>
      <c r="D6" s="31">
        <v>1</v>
      </c>
      <c r="E6" s="31">
        <v>11</v>
      </c>
      <c r="F6" s="31">
        <v>2</v>
      </c>
      <c r="G6" s="31">
        <v>7</v>
      </c>
      <c r="H6" s="31">
        <v>6</v>
      </c>
      <c r="I6" s="31">
        <v>13</v>
      </c>
      <c r="J6" s="31">
        <v>0</v>
      </c>
      <c r="K6" s="31">
        <v>3</v>
      </c>
      <c r="L6" s="31">
        <v>2</v>
      </c>
    </row>
    <row r="7" spans="1:12" x14ac:dyDescent="0.35">
      <c r="A7" s="30">
        <v>5</v>
      </c>
      <c r="B7" s="30" t="s">
        <v>17</v>
      </c>
      <c r="C7" s="33">
        <v>8</v>
      </c>
      <c r="D7" s="31">
        <v>0</v>
      </c>
      <c r="E7" s="31">
        <v>9</v>
      </c>
      <c r="F7" s="31">
        <v>2</v>
      </c>
      <c r="G7" s="31">
        <v>6</v>
      </c>
      <c r="H7" s="31">
        <v>5</v>
      </c>
      <c r="I7" s="31">
        <v>8</v>
      </c>
      <c r="J7" s="31">
        <v>0</v>
      </c>
      <c r="K7" s="31">
        <v>2</v>
      </c>
      <c r="L7" s="31">
        <v>1</v>
      </c>
    </row>
    <row r="8" spans="1:12" x14ac:dyDescent="0.35">
      <c r="A8" s="30">
        <v>6</v>
      </c>
      <c r="B8" s="30" t="s">
        <v>18</v>
      </c>
      <c r="C8" s="33">
        <v>12</v>
      </c>
      <c r="D8" s="31">
        <v>1</v>
      </c>
      <c r="E8" s="31">
        <v>12</v>
      </c>
      <c r="F8" s="31">
        <v>2</v>
      </c>
      <c r="G8" s="31">
        <v>9</v>
      </c>
      <c r="H8" s="31">
        <v>6</v>
      </c>
      <c r="I8" s="31">
        <v>16</v>
      </c>
      <c r="J8" s="31">
        <v>0</v>
      </c>
      <c r="K8" s="31">
        <v>3</v>
      </c>
      <c r="L8" s="31">
        <v>2</v>
      </c>
    </row>
    <row r="9" spans="1:12" x14ac:dyDescent="0.35">
      <c r="A9" s="30">
        <v>7</v>
      </c>
      <c r="B9" s="30" t="s">
        <v>19</v>
      </c>
      <c r="C9" s="33">
        <v>8</v>
      </c>
      <c r="D9" s="31">
        <v>0</v>
      </c>
      <c r="E9" s="31">
        <v>12</v>
      </c>
      <c r="F9" s="31">
        <v>2</v>
      </c>
      <c r="G9" s="31">
        <v>9</v>
      </c>
      <c r="H9" s="31">
        <v>6</v>
      </c>
      <c r="I9" s="31">
        <v>12</v>
      </c>
      <c r="J9" s="31">
        <v>0</v>
      </c>
      <c r="K9" s="31">
        <v>3</v>
      </c>
      <c r="L9" s="31">
        <v>2</v>
      </c>
    </row>
    <row r="10" spans="1:12" x14ac:dyDescent="0.35">
      <c r="A10" s="30">
        <v>8</v>
      </c>
      <c r="B10" s="30" t="s">
        <v>20</v>
      </c>
      <c r="C10" s="33">
        <v>12</v>
      </c>
      <c r="D10" s="31">
        <v>1</v>
      </c>
      <c r="E10" s="31">
        <v>9</v>
      </c>
      <c r="F10" s="31">
        <v>2</v>
      </c>
      <c r="G10" s="31">
        <v>6</v>
      </c>
      <c r="H10" s="31">
        <v>5</v>
      </c>
      <c r="I10" s="31">
        <v>11</v>
      </c>
      <c r="J10" s="31">
        <v>0</v>
      </c>
      <c r="K10" s="31">
        <v>3</v>
      </c>
      <c r="L10" s="31">
        <v>1</v>
      </c>
    </row>
    <row r="11" spans="1:12" x14ac:dyDescent="0.35">
      <c r="A11" s="30">
        <v>9</v>
      </c>
      <c r="B11" s="30" t="s">
        <v>21</v>
      </c>
      <c r="C11" s="33">
        <v>12</v>
      </c>
      <c r="D11" s="31">
        <v>1</v>
      </c>
      <c r="E11" s="31">
        <v>12</v>
      </c>
      <c r="F11" s="31">
        <v>2</v>
      </c>
      <c r="G11" s="31">
        <v>9</v>
      </c>
      <c r="H11" s="31">
        <v>6</v>
      </c>
      <c r="I11" s="31">
        <v>16</v>
      </c>
      <c r="J11" s="31">
        <v>0</v>
      </c>
      <c r="K11" s="31">
        <v>3</v>
      </c>
      <c r="L11" s="31">
        <v>2</v>
      </c>
    </row>
    <row r="12" spans="1:12" x14ac:dyDescent="0.35">
      <c r="A12" s="30">
        <v>10</v>
      </c>
      <c r="B12" s="30" t="s">
        <v>22</v>
      </c>
      <c r="C12" s="33">
        <v>12</v>
      </c>
      <c r="D12" s="31">
        <v>1</v>
      </c>
      <c r="E12" s="31">
        <v>11</v>
      </c>
      <c r="F12" s="31">
        <v>2</v>
      </c>
      <c r="G12" s="31">
        <v>7</v>
      </c>
      <c r="H12" s="31">
        <v>6</v>
      </c>
      <c r="I12" s="31">
        <v>13</v>
      </c>
      <c r="J12" s="31">
        <v>0</v>
      </c>
      <c r="K12" s="31">
        <v>3</v>
      </c>
      <c r="L12" s="31">
        <v>2</v>
      </c>
    </row>
    <row r="13" spans="1:12" x14ac:dyDescent="0.35">
      <c r="A13" s="30">
        <v>11</v>
      </c>
      <c r="B13" s="30" t="s">
        <v>23</v>
      </c>
      <c r="C13" s="33">
        <v>12</v>
      </c>
      <c r="D13" s="31">
        <v>1</v>
      </c>
      <c r="E13" s="31">
        <v>11</v>
      </c>
      <c r="F13" s="31">
        <v>1</v>
      </c>
      <c r="G13" s="31">
        <v>7</v>
      </c>
      <c r="H13" s="31">
        <v>3</v>
      </c>
      <c r="I13" s="31">
        <v>9</v>
      </c>
      <c r="J13" s="31">
        <v>0</v>
      </c>
      <c r="K13" s="31">
        <v>3</v>
      </c>
      <c r="L13" s="31">
        <v>2</v>
      </c>
    </row>
    <row r="14" spans="1:12" x14ac:dyDescent="0.35">
      <c r="A14" s="30">
        <v>12</v>
      </c>
      <c r="B14" s="30" t="s">
        <v>24</v>
      </c>
      <c r="C14" s="33">
        <v>10</v>
      </c>
      <c r="D14" s="31">
        <v>1</v>
      </c>
      <c r="E14" s="31">
        <v>12</v>
      </c>
      <c r="F14" s="31">
        <v>1</v>
      </c>
      <c r="G14" s="31">
        <v>6</v>
      </c>
      <c r="H14" s="31">
        <v>5</v>
      </c>
      <c r="I14" s="31">
        <v>16</v>
      </c>
      <c r="J14" s="31">
        <v>0</v>
      </c>
      <c r="K14" s="31">
        <v>2</v>
      </c>
      <c r="L14" s="31">
        <v>1</v>
      </c>
    </row>
    <row r="15" spans="1:12" x14ac:dyDescent="0.35">
      <c r="A15" s="30">
        <v>13</v>
      </c>
      <c r="B15" s="30" t="s">
        <v>25</v>
      </c>
      <c r="C15" s="33">
        <v>10</v>
      </c>
      <c r="D15" s="31">
        <v>0</v>
      </c>
      <c r="E15" s="31">
        <v>11</v>
      </c>
      <c r="F15" s="31">
        <v>2</v>
      </c>
      <c r="G15" s="31">
        <v>7</v>
      </c>
      <c r="H15" s="31">
        <v>6</v>
      </c>
      <c r="I15" s="31">
        <v>10</v>
      </c>
      <c r="J15" s="31">
        <v>0</v>
      </c>
      <c r="K15" s="31">
        <v>3</v>
      </c>
      <c r="L15" s="31">
        <v>2</v>
      </c>
    </row>
    <row r="16" spans="1:12" x14ac:dyDescent="0.35">
      <c r="A16" s="30">
        <v>14</v>
      </c>
      <c r="B16" s="30" t="s">
        <v>26</v>
      </c>
      <c r="C16" s="33">
        <v>10</v>
      </c>
      <c r="D16" s="31">
        <v>1</v>
      </c>
      <c r="E16" s="31">
        <v>11</v>
      </c>
      <c r="F16" s="31">
        <v>2</v>
      </c>
      <c r="G16" s="31">
        <v>3</v>
      </c>
      <c r="H16" s="31">
        <v>6</v>
      </c>
      <c r="I16" s="31">
        <v>16</v>
      </c>
      <c r="J16" s="31">
        <v>0</v>
      </c>
      <c r="K16" s="31">
        <v>1</v>
      </c>
      <c r="L16" s="31">
        <v>2</v>
      </c>
    </row>
    <row r="17" spans="1:12" x14ac:dyDescent="0.35">
      <c r="A17" s="30">
        <v>15</v>
      </c>
      <c r="B17" s="30" t="s">
        <v>27</v>
      </c>
      <c r="C17" s="33">
        <v>12</v>
      </c>
      <c r="D17" s="31">
        <v>1</v>
      </c>
      <c r="E17" s="31">
        <v>12</v>
      </c>
      <c r="F17" s="31">
        <v>1</v>
      </c>
      <c r="G17" s="31">
        <v>9</v>
      </c>
      <c r="H17" s="31">
        <v>3</v>
      </c>
      <c r="I17" s="31">
        <v>14</v>
      </c>
      <c r="J17" s="31">
        <v>0</v>
      </c>
      <c r="K17" s="31">
        <v>3</v>
      </c>
      <c r="L17" s="31">
        <v>1</v>
      </c>
    </row>
    <row r="18" spans="1:12" x14ac:dyDescent="0.35">
      <c r="A18" s="30">
        <v>16</v>
      </c>
      <c r="B18" s="30" t="s">
        <v>28</v>
      </c>
      <c r="C18" s="33">
        <v>12</v>
      </c>
      <c r="D18" s="31">
        <v>1</v>
      </c>
      <c r="E18" s="31">
        <v>12</v>
      </c>
      <c r="F18" s="31">
        <v>2</v>
      </c>
      <c r="G18" s="31">
        <v>9</v>
      </c>
      <c r="H18" s="31">
        <v>6</v>
      </c>
      <c r="I18" s="31">
        <v>16</v>
      </c>
      <c r="J18" s="31">
        <v>0</v>
      </c>
      <c r="K18" s="31">
        <v>3</v>
      </c>
      <c r="L18" s="31">
        <v>2</v>
      </c>
    </row>
    <row r="19" spans="1:12" x14ac:dyDescent="0.35">
      <c r="A19" s="30">
        <v>17</v>
      </c>
      <c r="B19" s="30" t="s">
        <v>29</v>
      </c>
      <c r="C19" s="33">
        <v>12</v>
      </c>
      <c r="D19" s="31">
        <v>1</v>
      </c>
      <c r="E19" s="31">
        <v>12</v>
      </c>
      <c r="F19" s="31">
        <v>2</v>
      </c>
      <c r="G19" s="31">
        <v>9</v>
      </c>
      <c r="H19" s="31">
        <v>6</v>
      </c>
      <c r="I19" s="31">
        <v>16</v>
      </c>
      <c r="J19" s="31">
        <v>0</v>
      </c>
      <c r="K19" s="31">
        <v>3</v>
      </c>
      <c r="L19" s="31">
        <v>2</v>
      </c>
    </row>
    <row r="20" spans="1:12" x14ac:dyDescent="0.35">
      <c r="A20" s="30">
        <v>18</v>
      </c>
      <c r="B20" s="30" t="s">
        <v>30</v>
      </c>
      <c r="C20" s="33">
        <v>8</v>
      </c>
      <c r="D20" s="31">
        <v>1</v>
      </c>
      <c r="E20" s="31">
        <v>5</v>
      </c>
      <c r="F20" s="31">
        <v>2</v>
      </c>
      <c r="G20" s="31">
        <v>4</v>
      </c>
      <c r="H20" s="31">
        <v>5</v>
      </c>
      <c r="I20" s="31">
        <v>10</v>
      </c>
      <c r="J20" s="31">
        <v>0</v>
      </c>
      <c r="K20" s="31">
        <v>2</v>
      </c>
      <c r="L20" s="31">
        <v>1</v>
      </c>
    </row>
    <row r="21" spans="1:12" x14ac:dyDescent="0.35">
      <c r="A21" s="30">
        <v>19</v>
      </c>
      <c r="B21" s="30" t="s">
        <v>31</v>
      </c>
      <c r="C21" s="33">
        <v>10</v>
      </c>
      <c r="D21" s="31">
        <v>0</v>
      </c>
      <c r="E21" s="31">
        <v>12</v>
      </c>
      <c r="F21" s="31">
        <v>2</v>
      </c>
      <c r="G21" s="31">
        <v>7</v>
      </c>
      <c r="H21" s="31">
        <v>3</v>
      </c>
      <c r="I21" s="31">
        <v>13</v>
      </c>
      <c r="J21" s="31">
        <v>0</v>
      </c>
      <c r="K21" s="31">
        <v>3</v>
      </c>
      <c r="L21" s="31">
        <v>2</v>
      </c>
    </row>
    <row r="22" spans="1:12" x14ac:dyDescent="0.35">
      <c r="A22" s="30">
        <v>20</v>
      </c>
      <c r="B22" s="30" t="s">
        <v>32</v>
      </c>
      <c r="C22" s="33">
        <v>10</v>
      </c>
      <c r="D22" s="31">
        <v>1</v>
      </c>
      <c r="E22" s="31">
        <v>12</v>
      </c>
      <c r="F22" s="31">
        <v>1</v>
      </c>
      <c r="G22" s="31">
        <v>7</v>
      </c>
      <c r="H22" s="31">
        <v>3</v>
      </c>
      <c r="I22" s="31">
        <v>14</v>
      </c>
      <c r="J22" s="31">
        <v>0</v>
      </c>
      <c r="K22" s="31">
        <v>2</v>
      </c>
      <c r="L22" s="31">
        <v>1</v>
      </c>
    </row>
    <row r="23" spans="1:12" x14ac:dyDescent="0.35">
      <c r="A23" s="30">
        <v>21</v>
      </c>
      <c r="B23" s="30" t="s">
        <v>33</v>
      </c>
      <c r="C23" s="33">
        <v>10</v>
      </c>
      <c r="D23" s="31">
        <v>1</v>
      </c>
      <c r="E23" s="31">
        <v>11</v>
      </c>
      <c r="F23" s="31">
        <v>1</v>
      </c>
      <c r="G23" s="31">
        <v>6</v>
      </c>
      <c r="H23" s="31">
        <v>2</v>
      </c>
      <c r="I23" s="31">
        <v>11</v>
      </c>
      <c r="J23" s="31">
        <v>0</v>
      </c>
      <c r="K23" s="31">
        <v>2</v>
      </c>
      <c r="L23" s="31">
        <v>1</v>
      </c>
    </row>
    <row r="24" spans="1:12" x14ac:dyDescent="0.35">
      <c r="A24" s="30">
        <v>22</v>
      </c>
      <c r="B24" s="30" t="s">
        <v>34</v>
      </c>
      <c r="C24" s="33">
        <v>12</v>
      </c>
      <c r="D24" s="31">
        <v>1</v>
      </c>
      <c r="E24" s="31">
        <v>11</v>
      </c>
      <c r="F24" s="31">
        <v>2</v>
      </c>
      <c r="G24" s="31">
        <v>9</v>
      </c>
      <c r="H24" s="31">
        <v>6</v>
      </c>
      <c r="I24" s="31">
        <v>15</v>
      </c>
      <c r="J24" s="31">
        <v>0</v>
      </c>
      <c r="K24" s="31">
        <v>3</v>
      </c>
      <c r="L24" s="31">
        <v>2</v>
      </c>
    </row>
    <row r="25" spans="1:12" x14ac:dyDescent="0.35">
      <c r="A25" s="30">
        <v>23</v>
      </c>
      <c r="B25" s="30" t="s">
        <v>35</v>
      </c>
      <c r="C25" s="33">
        <v>8</v>
      </c>
      <c r="D25" s="31">
        <v>0</v>
      </c>
      <c r="E25" s="31">
        <v>10</v>
      </c>
      <c r="F25" s="31">
        <v>2</v>
      </c>
      <c r="G25" s="31">
        <v>9</v>
      </c>
      <c r="H25" s="31">
        <v>6</v>
      </c>
      <c r="I25" s="31">
        <v>11</v>
      </c>
      <c r="J25" s="31">
        <v>0</v>
      </c>
      <c r="K25" s="31">
        <v>3</v>
      </c>
      <c r="L25" s="31">
        <v>2</v>
      </c>
    </row>
    <row r="26" spans="1:12" x14ac:dyDescent="0.35">
      <c r="A26" s="30">
        <v>24</v>
      </c>
      <c r="B26" s="30" t="s">
        <v>36</v>
      </c>
      <c r="C26" s="33">
        <v>10</v>
      </c>
      <c r="D26" s="31">
        <v>1</v>
      </c>
      <c r="E26" s="31">
        <v>10</v>
      </c>
      <c r="F26" s="31">
        <v>2</v>
      </c>
      <c r="G26" s="31">
        <v>9</v>
      </c>
      <c r="H26" s="31">
        <v>6</v>
      </c>
      <c r="I26" s="31">
        <v>14</v>
      </c>
      <c r="J26" s="31">
        <v>0</v>
      </c>
      <c r="K26" s="31">
        <v>3</v>
      </c>
      <c r="L26" s="31">
        <v>2</v>
      </c>
    </row>
    <row r="27" spans="1:12" x14ac:dyDescent="0.35">
      <c r="A27" s="30">
        <v>25</v>
      </c>
      <c r="B27" s="30" t="s">
        <v>37</v>
      </c>
      <c r="C27" s="33">
        <v>10</v>
      </c>
      <c r="D27" s="31">
        <v>1</v>
      </c>
      <c r="E27" s="31">
        <v>11</v>
      </c>
      <c r="F27" s="31">
        <v>1</v>
      </c>
      <c r="G27" s="31">
        <v>6</v>
      </c>
      <c r="H27" s="31">
        <v>5</v>
      </c>
      <c r="I27" s="31">
        <v>13</v>
      </c>
      <c r="J27" s="31">
        <v>0</v>
      </c>
      <c r="K27" s="31">
        <v>2</v>
      </c>
      <c r="L27" s="31">
        <v>2</v>
      </c>
    </row>
    <row r="28" spans="1:12" x14ac:dyDescent="0.35">
      <c r="A28" s="30">
        <v>26</v>
      </c>
      <c r="B28" s="30" t="s">
        <v>38</v>
      </c>
      <c r="C28" s="33">
        <v>8</v>
      </c>
      <c r="D28" s="31">
        <v>0</v>
      </c>
      <c r="E28" s="31">
        <v>11</v>
      </c>
      <c r="F28" s="31">
        <v>1</v>
      </c>
      <c r="G28" s="31">
        <v>7</v>
      </c>
      <c r="H28" s="31">
        <v>3</v>
      </c>
      <c r="I28" s="31">
        <v>13</v>
      </c>
      <c r="J28" s="31">
        <v>0</v>
      </c>
      <c r="K28" s="31">
        <v>2</v>
      </c>
      <c r="L28" s="31">
        <v>2</v>
      </c>
    </row>
    <row r="29" spans="1:12" x14ac:dyDescent="0.35">
      <c r="A29" s="30">
        <v>27</v>
      </c>
      <c r="B29" s="30" t="s">
        <v>39</v>
      </c>
      <c r="C29" s="33">
        <v>12</v>
      </c>
      <c r="D29" s="31">
        <v>1</v>
      </c>
      <c r="E29" s="31">
        <v>12</v>
      </c>
      <c r="F29" s="31">
        <v>2</v>
      </c>
      <c r="G29" s="31">
        <v>9</v>
      </c>
      <c r="H29" s="31">
        <v>6</v>
      </c>
      <c r="I29" s="31">
        <v>16</v>
      </c>
      <c r="J29" s="31">
        <v>0</v>
      </c>
      <c r="K29" s="31">
        <v>3</v>
      </c>
      <c r="L29" s="31">
        <v>2</v>
      </c>
    </row>
    <row r="30" spans="1:12" x14ac:dyDescent="0.35">
      <c r="A30" s="30">
        <v>28</v>
      </c>
      <c r="B30" s="30" t="s">
        <v>40</v>
      </c>
      <c r="C30" s="33">
        <v>12</v>
      </c>
      <c r="D30" s="31">
        <v>1</v>
      </c>
      <c r="E30" s="31">
        <v>11</v>
      </c>
      <c r="F30" s="31">
        <v>2</v>
      </c>
      <c r="G30" s="31">
        <v>7</v>
      </c>
      <c r="H30" s="31">
        <v>6</v>
      </c>
      <c r="I30" s="31">
        <v>13</v>
      </c>
      <c r="J30" s="31">
        <v>0</v>
      </c>
      <c r="K30" s="31">
        <v>3</v>
      </c>
      <c r="L30" s="31">
        <v>2</v>
      </c>
    </row>
    <row r="31" spans="1:12" x14ac:dyDescent="0.35">
      <c r="A31" s="30">
        <v>29</v>
      </c>
      <c r="B31" s="30" t="s">
        <v>41</v>
      </c>
      <c r="C31" s="33">
        <v>10</v>
      </c>
      <c r="D31" s="31">
        <v>1</v>
      </c>
      <c r="E31" s="31">
        <v>10</v>
      </c>
      <c r="F31" s="31">
        <v>2</v>
      </c>
      <c r="G31" s="31">
        <v>5</v>
      </c>
      <c r="H31" s="31">
        <v>6</v>
      </c>
      <c r="I31" s="31">
        <v>13</v>
      </c>
      <c r="J31" s="31">
        <v>0</v>
      </c>
      <c r="K31" s="31">
        <v>2</v>
      </c>
      <c r="L31" s="31">
        <v>2</v>
      </c>
    </row>
    <row r="32" spans="1:12" x14ac:dyDescent="0.35">
      <c r="A32" s="30">
        <v>30</v>
      </c>
      <c r="B32" s="30" t="s">
        <v>42</v>
      </c>
      <c r="C32" s="33">
        <v>8</v>
      </c>
      <c r="D32" s="31">
        <v>1</v>
      </c>
      <c r="E32" s="31">
        <v>7</v>
      </c>
      <c r="F32" s="31">
        <v>2</v>
      </c>
      <c r="G32" s="31">
        <v>5</v>
      </c>
      <c r="H32" s="31">
        <v>6</v>
      </c>
      <c r="I32" s="31">
        <v>11</v>
      </c>
      <c r="J32" s="31">
        <v>0</v>
      </c>
      <c r="K32" s="31">
        <v>3</v>
      </c>
      <c r="L32" s="31">
        <v>2</v>
      </c>
    </row>
    <row r="33" spans="1:12" x14ac:dyDescent="0.35">
      <c r="A33" s="30">
        <v>31</v>
      </c>
      <c r="B33" s="30" t="s">
        <v>43</v>
      </c>
      <c r="C33" s="33">
        <v>10</v>
      </c>
      <c r="D33" s="31">
        <v>1</v>
      </c>
      <c r="E33" s="31">
        <v>10</v>
      </c>
      <c r="F33" s="31">
        <v>1</v>
      </c>
      <c r="G33" s="31">
        <v>9</v>
      </c>
      <c r="H33" s="31">
        <v>3</v>
      </c>
      <c r="I33" s="31">
        <v>12</v>
      </c>
      <c r="J33" s="31">
        <v>0</v>
      </c>
      <c r="K33" s="31">
        <v>3</v>
      </c>
      <c r="L33" s="31">
        <v>1</v>
      </c>
    </row>
    <row r="34" spans="1:12" x14ac:dyDescent="0.35">
      <c r="A34" s="30">
        <v>32</v>
      </c>
      <c r="B34" s="30" t="s">
        <v>44</v>
      </c>
      <c r="C34" s="33">
        <v>10</v>
      </c>
      <c r="D34" s="31">
        <v>1</v>
      </c>
      <c r="E34" s="31">
        <v>11</v>
      </c>
      <c r="F34" s="31">
        <v>2</v>
      </c>
      <c r="G34" s="31">
        <v>7</v>
      </c>
      <c r="H34" s="31">
        <v>6</v>
      </c>
      <c r="I34" s="31">
        <v>16</v>
      </c>
      <c r="J34" s="31">
        <v>0</v>
      </c>
      <c r="K34" s="31">
        <v>2</v>
      </c>
      <c r="L34" s="31">
        <v>2</v>
      </c>
    </row>
    <row r="35" spans="1:12" x14ac:dyDescent="0.35">
      <c r="A35" s="30">
        <v>33</v>
      </c>
      <c r="B35" s="30" t="s">
        <v>45</v>
      </c>
      <c r="C35" s="33">
        <v>12</v>
      </c>
      <c r="D35" s="31">
        <v>1</v>
      </c>
      <c r="E35" s="31">
        <v>11</v>
      </c>
      <c r="F35" s="31">
        <v>2</v>
      </c>
      <c r="G35" s="31">
        <v>7</v>
      </c>
      <c r="H35" s="31">
        <v>6</v>
      </c>
      <c r="I35" s="31">
        <v>13</v>
      </c>
      <c r="J35" s="31">
        <v>0</v>
      </c>
      <c r="K35" s="31">
        <v>3</v>
      </c>
      <c r="L35" s="31">
        <v>2</v>
      </c>
    </row>
    <row r="36" spans="1:12" x14ac:dyDescent="0.35">
      <c r="A36" s="30">
        <v>34</v>
      </c>
      <c r="B36" s="30" t="s">
        <v>46</v>
      </c>
      <c r="C36" s="33">
        <v>12</v>
      </c>
      <c r="D36" s="31">
        <v>1</v>
      </c>
      <c r="E36" s="31">
        <v>11</v>
      </c>
      <c r="F36" s="31">
        <v>2</v>
      </c>
      <c r="G36" s="31">
        <v>7</v>
      </c>
      <c r="H36" s="31">
        <v>6</v>
      </c>
      <c r="I36" s="31">
        <v>13</v>
      </c>
      <c r="J36" s="31">
        <v>0</v>
      </c>
      <c r="K36" s="31">
        <v>3</v>
      </c>
      <c r="L36" s="31">
        <v>2</v>
      </c>
    </row>
    <row r="37" spans="1:12" x14ac:dyDescent="0.35">
      <c r="A37" s="30">
        <v>35</v>
      </c>
      <c r="B37" s="30" t="s">
        <v>47</v>
      </c>
      <c r="C37" s="33">
        <v>12</v>
      </c>
      <c r="D37" s="31">
        <v>1</v>
      </c>
      <c r="E37" s="31">
        <v>12</v>
      </c>
      <c r="F37" s="31">
        <v>2</v>
      </c>
      <c r="G37" s="31">
        <v>9</v>
      </c>
      <c r="H37" s="31">
        <v>6</v>
      </c>
      <c r="I37" s="31">
        <v>16</v>
      </c>
      <c r="J37" s="31">
        <v>0</v>
      </c>
      <c r="K37" s="31">
        <v>3</v>
      </c>
      <c r="L37" s="31">
        <v>2</v>
      </c>
    </row>
    <row r="38" spans="1:12" x14ac:dyDescent="0.35">
      <c r="A38" s="30">
        <v>36</v>
      </c>
      <c r="B38" s="30" t="s">
        <v>48</v>
      </c>
      <c r="C38" s="33">
        <v>10</v>
      </c>
      <c r="D38" s="31">
        <v>1</v>
      </c>
      <c r="E38" s="31">
        <v>11</v>
      </c>
      <c r="F38" s="31">
        <v>1</v>
      </c>
      <c r="G38" s="31">
        <v>6</v>
      </c>
      <c r="H38" s="31">
        <v>5</v>
      </c>
      <c r="I38" s="31">
        <v>13</v>
      </c>
      <c r="J38" s="31">
        <v>0</v>
      </c>
      <c r="K38" s="31">
        <v>2</v>
      </c>
      <c r="L38" s="31">
        <v>2</v>
      </c>
    </row>
    <row r="39" spans="1:12" x14ac:dyDescent="0.35">
      <c r="A39" s="30">
        <v>37</v>
      </c>
      <c r="B39" s="30" t="s">
        <v>49</v>
      </c>
      <c r="C39" s="33">
        <v>12</v>
      </c>
      <c r="D39" s="31">
        <v>1</v>
      </c>
      <c r="E39" s="31">
        <v>10</v>
      </c>
      <c r="F39" s="31">
        <v>2</v>
      </c>
      <c r="G39" s="31">
        <v>8</v>
      </c>
      <c r="H39" s="31">
        <v>5</v>
      </c>
      <c r="I39" s="31">
        <v>14</v>
      </c>
      <c r="J39" s="31">
        <v>0</v>
      </c>
      <c r="K39" s="31">
        <v>3</v>
      </c>
      <c r="L39" s="31">
        <v>1</v>
      </c>
    </row>
    <row r="40" spans="1:12" x14ac:dyDescent="0.35">
      <c r="A40" s="30">
        <v>38</v>
      </c>
      <c r="B40" s="30" t="s">
        <v>50</v>
      </c>
      <c r="C40" s="33">
        <v>10</v>
      </c>
      <c r="D40" s="31">
        <v>1</v>
      </c>
      <c r="E40" s="31">
        <v>11</v>
      </c>
      <c r="F40" s="31">
        <v>2</v>
      </c>
      <c r="G40" s="31">
        <v>9</v>
      </c>
      <c r="H40" s="31">
        <v>6</v>
      </c>
      <c r="I40" s="31">
        <v>15</v>
      </c>
      <c r="J40" s="31">
        <v>0</v>
      </c>
      <c r="K40" s="31">
        <v>3</v>
      </c>
      <c r="L40" s="31">
        <v>2</v>
      </c>
    </row>
    <row r="41" spans="1:12" x14ac:dyDescent="0.35">
      <c r="A41" s="30">
        <v>39</v>
      </c>
      <c r="B41" s="30" t="s">
        <v>51</v>
      </c>
      <c r="C41" s="33">
        <v>8</v>
      </c>
      <c r="D41" s="31">
        <v>0</v>
      </c>
      <c r="E41" s="31">
        <v>11</v>
      </c>
      <c r="F41" s="31">
        <v>2</v>
      </c>
      <c r="G41" s="31">
        <v>7</v>
      </c>
      <c r="H41" s="31">
        <v>6</v>
      </c>
      <c r="I41" s="31">
        <v>13</v>
      </c>
      <c r="J41" s="31">
        <v>0</v>
      </c>
      <c r="K41" s="31">
        <v>2</v>
      </c>
      <c r="L41" s="31">
        <v>2</v>
      </c>
    </row>
    <row r="42" spans="1:12" x14ac:dyDescent="0.35">
      <c r="A42" s="30">
        <v>40</v>
      </c>
      <c r="B42" s="30" t="s">
        <v>52</v>
      </c>
      <c r="C42" s="33">
        <v>10</v>
      </c>
      <c r="D42" s="31">
        <v>0</v>
      </c>
      <c r="E42" s="31">
        <v>8</v>
      </c>
      <c r="F42" s="31">
        <v>2</v>
      </c>
      <c r="G42" s="31">
        <v>7</v>
      </c>
      <c r="H42" s="31">
        <v>6</v>
      </c>
      <c r="I42" s="31">
        <v>12</v>
      </c>
      <c r="J42" s="31">
        <v>0</v>
      </c>
      <c r="K42" s="31">
        <v>3</v>
      </c>
      <c r="L42" s="31">
        <v>2</v>
      </c>
    </row>
    <row r="43" spans="1:12" x14ac:dyDescent="0.35">
      <c r="A43" s="30">
        <v>41</v>
      </c>
      <c r="B43" s="30" t="s">
        <v>53</v>
      </c>
      <c r="C43" s="33">
        <v>4</v>
      </c>
      <c r="D43" s="31">
        <v>1</v>
      </c>
      <c r="E43" s="31">
        <v>3</v>
      </c>
      <c r="F43" s="31">
        <v>2</v>
      </c>
      <c r="G43" s="31">
        <v>2</v>
      </c>
      <c r="H43" s="31">
        <v>5</v>
      </c>
      <c r="I43" s="31">
        <v>7</v>
      </c>
      <c r="J43" s="31">
        <v>0</v>
      </c>
      <c r="K43" s="31">
        <v>1</v>
      </c>
      <c r="L43" s="31">
        <v>2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C99-43DE-436A-9D43-3F0D4ECC2289}">
  <dimension ref="A1:L4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13" sqref="C13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9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3" t="s">
        <v>2</v>
      </c>
      <c r="B2" s="23" t="s">
        <v>3</v>
      </c>
      <c r="C2" s="23" t="s">
        <v>55</v>
      </c>
      <c r="D2" s="23" t="s">
        <v>56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61</v>
      </c>
      <c r="J2" s="23" t="s">
        <v>62</v>
      </c>
      <c r="K2" s="23" t="s">
        <v>8</v>
      </c>
      <c r="L2" s="23" t="s">
        <v>9</v>
      </c>
    </row>
    <row r="3" spans="1:12" x14ac:dyDescent="0.35">
      <c r="A3" s="30">
        <v>1</v>
      </c>
      <c r="B3" s="30" t="s">
        <v>13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</row>
    <row r="4" spans="1:12" x14ac:dyDescent="0.35">
      <c r="A4" s="30">
        <v>2</v>
      </c>
      <c r="B4" s="30" t="s">
        <v>14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</row>
    <row r="5" spans="1:12" x14ac:dyDescent="0.35">
      <c r="A5" s="30">
        <v>3</v>
      </c>
      <c r="B5" s="30" t="s">
        <v>15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</row>
    <row r="6" spans="1:12" x14ac:dyDescent="0.35">
      <c r="A6" s="30">
        <v>4</v>
      </c>
      <c r="B6" s="30" t="s">
        <v>16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</row>
    <row r="7" spans="1:12" x14ac:dyDescent="0.35">
      <c r="A7" s="30">
        <v>5</v>
      </c>
      <c r="B7" s="30" t="s">
        <v>17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</row>
    <row r="8" spans="1:12" x14ac:dyDescent="0.35">
      <c r="A8" s="30">
        <v>6</v>
      </c>
      <c r="B8" s="30" t="s">
        <v>18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</row>
    <row r="9" spans="1:12" x14ac:dyDescent="0.35">
      <c r="A9" s="30">
        <v>7</v>
      </c>
      <c r="B9" s="30" t="s">
        <v>19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</row>
    <row r="10" spans="1:12" x14ac:dyDescent="0.35">
      <c r="A10" s="30">
        <v>8</v>
      </c>
      <c r="B10" s="30" t="s">
        <v>20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</row>
    <row r="11" spans="1:12" x14ac:dyDescent="0.35">
      <c r="A11" s="30">
        <v>9</v>
      </c>
      <c r="B11" s="30" t="s">
        <v>21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</row>
    <row r="12" spans="1:12" x14ac:dyDescent="0.35">
      <c r="A12" s="30">
        <v>10</v>
      </c>
      <c r="B12" s="30" t="s">
        <v>22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</row>
    <row r="13" spans="1:12" x14ac:dyDescent="0.35">
      <c r="A13" s="30">
        <v>11</v>
      </c>
      <c r="B13" s="30" t="s">
        <v>23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</row>
    <row r="14" spans="1:12" x14ac:dyDescent="0.35">
      <c r="A14" s="30">
        <v>12</v>
      </c>
      <c r="B14" s="30" t="s">
        <v>24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</row>
    <row r="15" spans="1:12" x14ac:dyDescent="0.35">
      <c r="A15" s="30">
        <v>13</v>
      </c>
      <c r="B15" s="30" t="s">
        <v>25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</row>
    <row r="16" spans="1:12" x14ac:dyDescent="0.35">
      <c r="A16" s="30">
        <v>14</v>
      </c>
      <c r="B16" s="30" t="s">
        <v>26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</row>
    <row r="17" spans="1:12" x14ac:dyDescent="0.35">
      <c r="A17" s="30">
        <v>15</v>
      </c>
      <c r="B17" s="30" t="s">
        <v>27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</row>
    <row r="18" spans="1:12" x14ac:dyDescent="0.35">
      <c r="A18" s="30">
        <v>16</v>
      </c>
      <c r="B18" s="30" t="s">
        <v>28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</row>
    <row r="19" spans="1:12" x14ac:dyDescent="0.35">
      <c r="A19" s="30">
        <v>17</v>
      </c>
      <c r="B19" s="30" t="s">
        <v>29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</row>
    <row r="20" spans="1:12" x14ac:dyDescent="0.35">
      <c r="A20" s="30">
        <v>18</v>
      </c>
      <c r="B20" s="30" t="s">
        <v>30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</row>
    <row r="21" spans="1:12" x14ac:dyDescent="0.35">
      <c r="A21" s="30">
        <v>19</v>
      </c>
      <c r="B21" s="30" t="s">
        <v>31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</row>
    <row r="22" spans="1:12" x14ac:dyDescent="0.35">
      <c r="A22" s="30">
        <v>20</v>
      </c>
      <c r="B22" s="30" t="s">
        <v>32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</row>
    <row r="23" spans="1:12" x14ac:dyDescent="0.35">
      <c r="A23" s="30">
        <v>21</v>
      </c>
      <c r="B23" s="30" t="s">
        <v>33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</row>
    <row r="24" spans="1:12" x14ac:dyDescent="0.35">
      <c r="A24" s="30">
        <v>22</v>
      </c>
      <c r="B24" s="30" t="s">
        <v>34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</row>
    <row r="25" spans="1:12" x14ac:dyDescent="0.35">
      <c r="A25" s="30">
        <v>23</v>
      </c>
      <c r="B25" s="30" t="s">
        <v>35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</row>
    <row r="26" spans="1:12" x14ac:dyDescent="0.35">
      <c r="A26" s="30">
        <v>24</v>
      </c>
      <c r="B26" s="30" t="s">
        <v>36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</row>
    <row r="27" spans="1:12" x14ac:dyDescent="0.35">
      <c r="A27" s="30">
        <v>25</v>
      </c>
      <c r="B27" s="30" t="s">
        <v>37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</row>
    <row r="28" spans="1:12" x14ac:dyDescent="0.35">
      <c r="A28" s="30">
        <v>26</v>
      </c>
      <c r="B28" s="30" t="s">
        <v>38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</row>
    <row r="29" spans="1:12" x14ac:dyDescent="0.35">
      <c r="A29" s="30">
        <v>27</v>
      </c>
      <c r="B29" s="30" t="s">
        <v>39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x14ac:dyDescent="0.35">
      <c r="A30" s="30">
        <v>28</v>
      </c>
      <c r="B30" s="30" t="s">
        <v>40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</row>
    <row r="31" spans="1:12" x14ac:dyDescent="0.35">
      <c r="A31" s="30">
        <v>29</v>
      </c>
      <c r="B31" s="30" t="s">
        <v>41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</row>
    <row r="32" spans="1:12" x14ac:dyDescent="0.35">
      <c r="A32" s="30">
        <v>30</v>
      </c>
      <c r="B32" s="30" t="s">
        <v>42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</row>
    <row r="33" spans="1:12" x14ac:dyDescent="0.35">
      <c r="A33" s="30">
        <v>31</v>
      </c>
      <c r="B33" s="30" t="s">
        <v>43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</row>
    <row r="34" spans="1:12" x14ac:dyDescent="0.35">
      <c r="A34" s="30">
        <v>32</v>
      </c>
      <c r="B34" s="30" t="s">
        <v>44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</row>
    <row r="35" spans="1:12" x14ac:dyDescent="0.35">
      <c r="A35" s="30">
        <v>33</v>
      </c>
      <c r="B35" s="30" t="s">
        <v>45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</row>
    <row r="36" spans="1:12" x14ac:dyDescent="0.35">
      <c r="A36" s="30">
        <v>34</v>
      </c>
      <c r="B36" s="30" t="s">
        <v>46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</row>
    <row r="37" spans="1:12" x14ac:dyDescent="0.35">
      <c r="A37" s="30">
        <v>35</v>
      </c>
      <c r="B37" s="30" t="s">
        <v>47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</row>
    <row r="38" spans="1:12" x14ac:dyDescent="0.35">
      <c r="A38" s="30">
        <v>36</v>
      </c>
      <c r="B38" s="30" t="s">
        <v>48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</row>
    <row r="39" spans="1:12" x14ac:dyDescent="0.35">
      <c r="A39" s="30">
        <v>37</v>
      </c>
      <c r="B39" s="30" t="s">
        <v>49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</row>
    <row r="40" spans="1:12" x14ac:dyDescent="0.35">
      <c r="A40" s="30">
        <v>38</v>
      </c>
      <c r="B40" s="30" t="s">
        <v>50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</row>
    <row r="41" spans="1:12" x14ac:dyDescent="0.35">
      <c r="A41" s="30">
        <v>39</v>
      </c>
      <c r="B41" s="30" t="s">
        <v>51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</row>
    <row r="42" spans="1:12" x14ac:dyDescent="0.35">
      <c r="A42" s="30">
        <v>40</v>
      </c>
      <c r="B42" s="30" t="s">
        <v>52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</row>
    <row r="43" spans="1:12" x14ac:dyDescent="0.35">
      <c r="A43" s="30">
        <v>41</v>
      </c>
      <c r="B43" s="30" t="s">
        <v>53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62FE-0A17-42D8-B521-21FC36F22EDD}">
  <dimension ref="A1:L43"/>
  <sheetViews>
    <sheetView showGridLines="0" workbookViewId="0">
      <pane xSplit="2" ySplit="2" topLeftCell="C28" activePane="bottomRight" state="frozen"/>
      <selection pane="topRight"/>
      <selection pane="bottomLeft"/>
      <selection pane="bottomRight" activeCell="B2" sqref="B2"/>
    </sheetView>
  </sheetViews>
  <sheetFormatPr defaultRowHeight="14.5" x14ac:dyDescent="0.35"/>
  <cols>
    <col min="1" max="1" width="7" customWidth="1"/>
    <col min="2" max="2" width="30" customWidth="1"/>
    <col min="3" max="12" width="14" customWidth="1"/>
  </cols>
  <sheetData>
    <row r="1" spans="1:12" ht="18.5" x14ac:dyDescent="0.45">
      <c r="A1" s="19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3" t="s">
        <v>2</v>
      </c>
      <c r="B2" s="23" t="s">
        <v>3</v>
      </c>
      <c r="C2" s="23" t="s">
        <v>55</v>
      </c>
      <c r="D2" s="23" t="s">
        <v>56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61</v>
      </c>
      <c r="J2" s="23" t="s">
        <v>62</v>
      </c>
      <c r="K2" s="23" t="s">
        <v>8</v>
      </c>
      <c r="L2" s="23" t="s">
        <v>9</v>
      </c>
    </row>
    <row r="3" spans="1:12" x14ac:dyDescent="0.35">
      <c r="A3" s="30">
        <v>1</v>
      </c>
      <c r="B3" s="30" t="s">
        <v>13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</row>
    <row r="4" spans="1:12" x14ac:dyDescent="0.35">
      <c r="A4" s="30">
        <v>2</v>
      </c>
      <c r="B4" s="30" t="s">
        <v>14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</row>
    <row r="5" spans="1:12" x14ac:dyDescent="0.35">
      <c r="A5" s="30">
        <v>3</v>
      </c>
      <c r="B5" s="30" t="s">
        <v>15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</row>
    <row r="6" spans="1:12" x14ac:dyDescent="0.35">
      <c r="A6" s="30">
        <v>4</v>
      </c>
      <c r="B6" s="30" t="s">
        <v>16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</row>
    <row r="7" spans="1:12" x14ac:dyDescent="0.35">
      <c r="A7" s="30">
        <v>5</v>
      </c>
      <c r="B7" s="30" t="s">
        <v>17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</row>
    <row r="8" spans="1:12" x14ac:dyDescent="0.35">
      <c r="A8" s="30">
        <v>6</v>
      </c>
      <c r="B8" s="30" t="s">
        <v>18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</row>
    <row r="9" spans="1:12" x14ac:dyDescent="0.35">
      <c r="A9" s="30">
        <v>7</v>
      </c>
      <c r="B9" s="30" t="s">
        <v>19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</row>
    <row r="10" spans="1:12" x14ac:dyDescent="0.35">
      <c r="A10" s="30">
        <v>8</v>
      </c>
      <c r="B10" s="30" t="s">
        <v>20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</row>
    <row r="11" spans="1:12" x14ac:dyDescent="0.35">
      <c r="A11" s="30">
        <v>9</v>
      </c>
      <c r="B11" s="30" t="s">
        <v>21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</row>
    <row r="12" spans="1:12" x14ac:dyDescent="0.35">
      <c r="A12" s="30">
        <v>10</v>
      </c>
      <c r="B12" s="30" t="s">
        <v>22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</row>
    <row r="13" spans="1:12" x14ac:dyDescent="0.35">
      <c r="A13" s="30">
        <v>11</v>
      </c>
      <c r="B13" s="30" t="s">
        <v>23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</row>
    <row r="14" spans="1:12" x14ac:dyDescent="0.35">
      <c r="A14" s="30">
        <v>12</v>
      </c>
      <c r="B14" s="30" t="s">
        <v>24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</row>
    <row r="15" spans="1:12" x14ac:dyDescent="0.35">
      <c r="A15" s="30">
        <v>13</v>
      </c>
      <c r="B15" s="30" t="s">
        <v>25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</row>
    <row r="16" spans="1:12" x14ac:dyDescent="0.35">
      <c r="A16" s="30">
        <v>14</v>
      </c>
      <c r="B16" s="30" t="s">
        <v>26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</row>
    <row r="17" spans="1:12" x14ac:dyDescent="0.35">
      <c r="A17" s="30">
        <v>15</v>
      </c>
      <c r="B17" s="30" t="s">
        <v>27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</row>
    <row r="18" spans="1:12" x14ac:dyDescent="0.35">
      <c r="A18" s="30">
        <v>16</v>
      </c>
      <c r="B18" s="30" t="s">
        <v>28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</row>
    <row r="19" spans="1:12" x14ac:dyDescent="0.35">
      <c r="A19" s="30">
        <v>17</v>
      </c>
      <c r="B19" s="30" t="s">
        <v>29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</row>
    <row r="20" spans="1:12" x14ac:dyDescent="0.35">
      <c r="A20" s="30">
        <v>18</v>
      </c>
      <c r="B20" s="30" t="s">
        <v>30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</row>
    <row r="21" spans="1:12" x14ac:dyDescent="0.35">
      <c r="A21" s="30">
        <v>19</v>
      </c>
      <c r="B21" s="30" t="s">
        <v>31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</row>
    <row r="22" spans="1:12" x14ac:dyDescent="0.35">
      <c r="A22" s="30">
        <v>20</v>
      </c>
      <c r="B22" s="30" t="s">
        <v>32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</row>
    <row r="23" spans="1:12" x14ac:dyDescent="0.35">
      <c r="A23" s="30">
        <v>21</v>
      </c>
      <c r="B23" s="30" t="s">
        <v>33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</row>
    <row r="24" spans="1:12" x14ac:dyDescent="0.35">
      <c r="A24" s="30">
        <v>22</v>
      </c>
      <c r="B24" s="30" t="s">
        <v>34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</row>
    <row r="25" spans="1:12" x14ac:dyDescent="0.35">
      <c r="A25" s="30">
        <v>23</v>
      </c>
      <c r="B25" s="30" t="s">
        <v>35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</row>
    <row r="26" spans="1:12" x14ac:dyDescent="0.35">
      <c r="A26" s="30">
        <v>24</v>
      </c>
      <c r="B26" s="30" t="s">
        <v>36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</row>
    <row r="27" spans="1:12" x14ac:dyDescent="0.35">
      <c r="A27" s="30">
        <v>25</v>
      </c>
      <c r="B27" s="30" t="s">
        <v>37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</row>
    <row r="28" spans="1:12" x14ac:dyDescent="0.35">
      <c r="A28" s="30">
        <v>26</v>
      </c>
      <c r="B28" s="30" t="s">
        <v>38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</row>
    <row r="29" spans="1:12" x14ac:dyDescent="0.35">
      <c r="A29" s="30">
        <v>27</v>
      </c>
      <c r="B29" s="30" t="s">
        <v>39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x14ac:dyDescent="0.35">
      <c r="A30" s="30">
        <v>28</v>
      </c>
      <c r="B30" s="30" t="s">
        <v>40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</row>
    <row r="31" spans="1:12" x14ac:dyDescent="0.35">
      <c r="A31" s="30">
        <v>29</v>
      </c>
      <c r="B31" s="30" t="s">
        <v>41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</row>
    <row r="32" spans="1:12" x14ac:dyDescent="0.35">
      <c r="A32" s="30">
        <v>30</v>
      </c>
      <c r="B32" s="30" t="s">
        <v>42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</row>
    <row r="33" spans="1:12" x14ac:dyDescent="0.35">
      <c r="A33" s="30">
        <v>31</v>
      </c>
      <c r="B33" s="30" t="s">
        <v>43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</row>
    <row r="34" spans="1:12" x14ac:dyDescent="0.35">
      <c r="A34" s="30">
        <v>32</v>
      </c>
      <c r="B34" s="30" t="s">
        <v>44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</row>
    <row r="35" spans="1:12" x14ac:dyDescent="0.35">
      <c r="A35" s="30">
        <v>33</v>
      </c>
      <c r="B35" s="30" t="s">
        <v>45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</row>
    <row r="36" spans="1:12" x14ac:dyDescent="0.35">
      <c r="A36" s="30">
        <v>34</v>
      </c>
      <c r="B36" s="30" t="s">
        <v>46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</row>
    <row r="37" spans="1:12" x14ac:dyDescent="0.35">
      <c r="A37" s="30">
        <v>35</v>
      </c>
      <c r="B37" s="30" t="s">
        <v>47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</row>
    <row r="38" spans="1:12" x14ac:dyDescent="0.35">
      <c r="A38" s="30">
        <v>36</v>
      </c>
      <c r="B38" s="30" t="s">
        <v>48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</row>
    <row r="39" spans="1:12" x14ac:dyDescent="0.35">
      <c r="A39" s="30">
        <v>37</v>
      </c>
      <c r="B39" s="30" t="s">
        <v>49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</row>
    <row r="40" spans="1:12" x14ac:dyDescent="0.35">
      <c r="A40" s="30">
        <v>38</v>
      </c>
      <c r="B40" s="30" t="s">
        <v>50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</row>
    <row r="41" spans="1:12" x14ac:dyDescent="0.35">
      <c r="A41" s="30">
        <v>39</v>
      </c>
      <c r="B41" s="30" t="s">
        <v>51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</row>
    <row r="42" spans="1:12" x14ac:dyDescent="0.35">
      <c r="A42" s="30">
        <v>40</v>
      </c>
      <c r="B42" s="30" t="s">
        <v>52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</row>
    <row r="43" spans="1:12" x14ac:dyDescent="0.35">
      <c r="A43" s="30">
        <v>41</v>
      </c>
      <c r="B43" s="30" t="s">
        <v>53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showGridLines="0" tabSelected="1" workbookViewId="0">
      <pane xSplit="1" ySplit="3" topLeftCell="C4" activePane="bottomRight" state="frozen"/>
      <selection pane="topRight"/>
      <selection pane="bottomLeft"/>
      <selection pane="bottomRight" activeCell="B12" sqref="B12:L13"/>
    </sheetView>
  </sheetViews>
  <sheetFormatPr defaultRowHeight="14.5" x14ac:dyDescent="0.35"/>
  <cols>
    <col min="1" max="1" width="17" customWidth="1"/>
    <col min="2" max="12" width="14" customWidth="1"/>
  </cols>
  <sheetData>
    <row r="1" spans="1:12" ht="18.5" x14ac:dyDescent="0.45">
      <c r="A1" s="24" t="s">
        <v>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35">
      <c r="A3" s="26" t="s">
        <v>67</v>
      </c>
      <c r="B3" s="26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6" t="s">
        <v>60</v>
      </c>
      <c r="H3" s="26" t="s">
        <v>61</v>
      </c>
      <c r="I3" s="26" t="s">
        <v>62</v>
      </c>
      <c r="J3" s="26" t="s">
        <v>8</v>
      </c>
      <c r="K3" s="26" t="s">
        <v>9</v>
      </c>
      <c r="L3" s="26" t="s">
        <v>68</v>
      </c>
    </row>
    <row r="4" spans="1:12" x14ac:dyDescent="0.35">
      <c r="A4" s="7" t="s">
        <v>69</v>
      </c>
      <c r="B4" s="7">
        <v>13.5</v>
      </c>
      <c r="C4" s="28">
        <v>1</v>
      </c>
      <c r="D4" s="28">
        <v>9</v>
      </c>
      <c r="E4" s="28">
        <v>0</v>
      </c>
      <c r="F4" s="28">
        <v>10</v>
      </c>
      <c r="G4" s="28">
        <v>0</v>
      </c>
      <c r="H4" s="28">
        <v>7</v>
      </c>
      <c r="I4" s="28">
        <v>2</v>
      </c>
      <c r="J4" s="28">
        <v>4</v>
      </c>
      <c r="K4" s="28">
        <v>6</v>
      </c>
      <c r="L4" s="28">
        <f>SUM(B4:K4)</f>
        <v>52.5</v>
      </c>
    </row>
    <row r="5" spans="1:12" x14ac:dyDescent="0.35">
      <c r="A5" s="7" t="s">
        <v>70</v>
      </c>
      <c r="B5" s="7">
        <v>15</v>
      </c>
      <c r="C5" s="28">
        <v>2</v>
      </c>
      <c r="D5" s="28">
        <v>11</v>
      </c>
      <c r="E5" s="28">
        <v>7</v>
      </c>
      <c r="F5" s="28">
        <v>18</v>
      </c>
      <c r="G5" s="28">
        <v>2</v>
      </c>
      <c r="H5" s="28">
        <v>13</v>
      </c>
      <c r="I5" s="28">
        <v>5</v>
      </c>
      <c r="J5" s="28">
        <v>6</v>
      </c>
      <c r="K5" s="28">
        <v>5</v>
      </c>
      <c r="L5" s="28">
        <f>SUM(B5:K5)</f>
        <v>84</v>
      </c>
    </row>
    <row r="6" spans="1:12" x14ac:dyDescent="0.35">
      <c r="A6" s="7" t="s">
        <v>71</v>
      </c>
      <c r="B6" s="7">
        <v>14</v>
      </c>
      <c r="C6" s="28">
        <v>2</v>
      </c>
      <c r="D6" s="28">
        <v>10</v>
      </c>
      <c r="E6" s="28">
        <v>6</v>
      </c>
      <c r="F6" s="28">
        <v>13.5</v>
      </c>
      <c r="G6" s="28">
        <v>2.5</v>
      </c>
      <c r="H6" s="28">
        <v>10</v>
      </c>
      <c r="I6" s="28">
        <v>4</v>
      </c>
      <c r="J6" s="28">
        <v>7</v>
      </c>
      <c r="K6" s="28">
        <v>3</v>
      </c>
      <c r="L6" s="28">
        <f>SUM(B6:K6)</f>
        <v>72</v>
      </c>
    </row>
    <row r="7" spans="1:12" x14ac:dyDescent="0.35">
      <c r="A7" s="7" t="s">
        <v>72</v>
      </c>
      <c r="B7" s="7">
        <v>12</v>
      </c>
      <c r="C7" s="28">
        <v>1</v>
      </c>
      <c r="D7" s="28">
        <v>12</v>
      </c>
      <c r="E7" s="28">
        <v>2</v>
      </c>
      <c r="F7" s="28">
        <v>9</v>
      </c>
      <c r="G7" s="28">
        <v>6</v>
      </c>
      <c r="H7" s="28">
        <v>16</v>
      </c>
      <c r="I7" s="28">
        <v>0</v>
      </c>
      <c r="J7" s="28">
        <v>3</v>
      </c>
      <c r="K7" s="28">
        <v>2</v>
      </c>
      <c r="L7" s="28">
        <f>SUM(B7:K7)</f>
        <v>63</v>
      </c>
    </row>
    <row r="8" spans="1:12" x14ac:dyDescent="0.35">
      <c r="A8" s="7" t="s">
        <v>77</v>
      </c>
      <c r="B8" s="7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f>SUM(B8:K8)</f>
        <v>0</v>
      </c>
    </row>
    <row r="9" spans="1:12" x14ac:dyDescent="0.35">
      <c r="A9" s="7" t="s">
        <v>78</v>
      </c>
      <c r="B9" s="7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f>SUM(B9:K9)</f>
        <v>0</v>
      </c>
    </row>
    <row r="10" spans="1:12" x14ac:dyDescent="0.35">
      <c r="A10" s="27" t="s">
        <v>79</v>
      </c>
      <c r="B10" s="27">
        <f>SUM(B4:B9)</f>
        <v>54.5</v>
      </c>
      <c r="C10" s="29">
        <f>SUM(C4:C9)</f>
        <v>6</v>
      </c>
      <c r="D10" s="29">
        <f>SUM(D4:D9)</f>
        <v>42</v>
      </c>
      <c r="E10" s="29">
        <f>SUM(E4:E9)</f>
        <v>15</v>
      </c>
      <c r="F10" s="29">
        <f>SUM(F4:F9)</f>
        <v>50.5</v>
      </c>
      <c r="G10" s="29">
        <f>SUM(G4:G9)</f>
        <v>10.5</v>
      </c>
      <c r="H10" s="29">
        <f>SUM(H4:H9)</f>
        <v>46</v>
      </c>
      <c r="I10" s="29">
        <f>SUM(I4:I9)</f>
        <v>11</v>
      </c>
      <c r="J10" s="29">
        <f>SUM(J4:J9)</f>
        <v>20</v>
      </c>
      <c r="K10" s="29">
        <f>SUM(K4:K9)</f>
        <v>16</v>
      </c>
      <c r="L10" s="29">
        <f>SUM(L4:L9)</f>
        <v>271.5</v>
      </c>
    </row>
    <row r="12" spans="1:12" x14ac:dyDescent="0.35">
      <c r="A12" s="1" t="s">
        <v>73</v>
      </c>
      <c r="B12" s="3" t="s">
        <v>74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2">
    <mergeCell ref="A1:L1"/>
    <mergeCell ref="B12:L1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Subject Report</vt:lpstr>
      <vt:lpstr>June</vt:lpstr>
      <vt:lpstr>July</vt:lpstr>
      <vt:lpstr>August</vt:lpstr>
      <vt:lpstr>September</vt:lpstr>
      <vt:lpstr>October</vt:lpstr>
      <vt:lpstr>November</vt:lpstr>
      <vt:lpstr>Allotted 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Balamurugan Chandran</dc:creator>
  <cp:keywords/>
  <dc:description/>
  <cp:lastModifiedBy>Balamurugan Chandran</cp:lastModifiedBy>
  <cp:revision/>
  <dcterms:created xsi:type="dcterms:W3CDTF">2026-10-11T15:37:44Z</dcterms:created>
  <dcterms:modified xsi:type="dcterms:W3CDTF">2026-10-11T15:59:22Z</dcterms:modified>
  <cp:category/>
  <cp:contentStatus/>
</cp:coreProperties>
</file>