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tcscomprod-my.sharepoint.com/personal/478167_tcs_com/Documents/00 New Initiatives/02 AI Risk &amp; Governance/"/>
    </mc:Choice>
  </mc:AlternateContent>
  <xr:revisionPtr revIDLastSave="0" documentId="8_{0B2A159E-0C9C-4C85-9F55-558EAE233B97}" xr6:coauthVersionLast="47" xr6:coauthVersionMax="47" xr10:uidLastSave="{00000000-0000-0000-0000-000000000000}"/>
  <bookViews>
    <workbookView xWindow="5712" yWindow="3408" windowWidth="17280" windowHeight="8832" tabRatio="500" xr2:uid="{00000000-000D-0000-FFFF-FFFF00000000}"/>
  </bookViews>
  <sheets>
    <sheet name="README" sheetId="1" r:id="rId1"/>
    <sheet name="Dashboard" sheetId="2" r:id="rId2"/>
    <sheet name="AI_System_Register" sheetId="17" r:id="rId3"/>
    <sheet name="Annex_III_Guide" sheetId="19" r:id="rId4"/>
    <sheet name="Decision_Logic" sheetId="18" r:id="rId5"/>
    <sheet name="MVP_Roadmap" sheetId="3" r:id="rId6"/>
    <sheet name="MVP_Backlog" sheetId="4" r:id="rId7"/>
    <sheet name="Agent_Catalog" sheetId="5" r:id="rId8"/>
    <sheet name="Tiering_Rules" sheetId="6" r:id="rId9"/>
    <sheet name="Tier_Obligations" sheetId="7" r:id="rId10"/>
    <sheet name="Framework_Map" sheetId="8" r:id="rId11"/>
    <sheet name="Config" sheetId="10" r:id="rId12"/>
    <sheet name="Syn_AI_Inventory" sheetId="11" r:id="rId13"/>
    <sheet name="Syn_Tiering" sheetId="12" r:id="rId14"/>
    <sheet name="Syn_Gap_Assessment" sheetId="13" r:id="rId15"/>
    <sheet name="Syn_Remediation" sheetId="14" r:id="rId16"/>
    <sheet name="Syn_Monitoring" sheetId="15" r:id="rId17"/>
    <sheet name="Syn_Agent_Run_Log" sheetId="16" r:id="rId18"/>
  </sheets>
  <externalReferences>
    <externalReference r:id="rId19"/>
  </externalReferences>
  <definedNames>
    <definedName name="_xlnm._FilterDatabase" localSheetId="10" hidden="1">Framework_Map!$G$1:$G$28</definedName>
  </definedName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4" i="10" l="1"/>
  <c r="Q29" i="17"/>
  <c r="O29" i="17"/>
  <c r="P29" i="17" s="1"/>
  <c r="Q28" i="17"/>
  <c r="O28" i="17"/>
  <c r="P28" i="17" s="1"/>
  <c r="Q27" i="17"/>
  <c r="O27" i="17"/>
  <c r="P27" i="17" s="1"/>
  <c r="Q26" i="17"/>
  <c r="O26" i="17"/>
  <c r="P26" i="17" s="1"/>
  <c r="Q25" i="17"/>
  <c r="O25" i="17"/>
  <c r="P25" i="17" s="1"/>
  <c r="Q24" i="17"/>
  <c r="O24" i="17"/>
  <c r="P24" i="17" s="1"/>
  <c r="Q23" i="17"/>
  <c r="O23" i="17"/>
  <c r="P23" i="17" s="1"/>
  <c r="Q22" i="17"/>
  <c r="O22" i="17"/>
  <c r="P22" i="17" s="1"/>
  <c r="Q21" i="17"/>
  <c r="O21" i="17"/>
  <c r="P21" i="17" s="1"/>
  <c r="Q20" i="17"/>
  <c r="O20" i="17"/>
  <c r="P20" i="17" s="1"/>
  <c r="Q19" i="17"/>
  <c r="O19" i="17"/>
  <c r="P19" i="17" s="1"/>
  <c r="Q18" i="17"/>
  <c r="O18" i="17"/>
  <c r="P18" i="17" s="1"/>
  <c r="Q17" i="17"/>
  <c r="O17" i="17"/>
  <c r="P17" i="17" s="1"/>
  <c r="Q16" i="17"/>
  <c r="O16" i="17"/>
  <c r="P16" i="17" s="1"/>
  <c r="Q15" i="17"/>
  <c r="O15" i="17"/>
  <c r="P15" i="17" s="1"/>
  <c r="Q14" i="17"/>
  <c r="O14" i="17"/>
  <c r="P14" i="17" s="1"/>
  <c r="Q13" i="17"/>
  <c r="O13" i="17"/>
  <c r="P13" i="17" s="1"/>
  <c r="Q12" i="17"/>
  <c r="O12" i="17"/>
  <c r="P12" i="17" s="1"/>
  <c r="Q11" i="17"/>
  <c r="O11" i="17"/>
  <c r="P11" i="17" s="1"/>
  <c r="Q10" i="17"/>
  <c r="O10" i="17"/>
  <c r="P10" i="17" s="1"/>
  <c r="Q9" i="17"/>
  <c r="O9" i="17"/>
  <c r="P9" i="17" s="1"/>
  <c r="Q8" i="17"/>
  <c r="O8" i="17"/>
  <c r="P8" i="17" s="1"/>
  <c r="Q7" i="17"/>
  <c r="O7" i="17"/>
  <c r="P7" i="17" s="1"/>
  <c r="Q6" i="17"/>
  <c r="O6" i="17"/>
  <c r="P6" i="17" s="1"/>
  <c r="Q5" i="17"/>
  <c r="O5" i="17"/>
  <c r="P5" i="17" s="1"/>
  <c r="K52" i="16"/>
  <c r="K51" i="16"/>
  <c r="K50" i="16"/>
  <c r="K49" i="16"/>
  <c r="K48" i="16"/>
  <c r="K47" i="16"/>
  <c r="K46" i="16"/>
  <c r="K45" i="16"/>
  <c r="K44" i="16"/>
  <c r="K43" i="16"/>
  <c r="K42" i="16"/>
  <c r="K41" i="16"/>
  <c r="K40" i="16"/>
  <c r="K39" i="16"/>
  <c r="K38" i="16"/>
  <c r="K37" i="16"/>
  <c r="K36" i="16"/>
  <c r="K35" i="16"/>
  <c r="K34" i="16"/>
  <c r="K33" i="16"/>
  <c r="K32" i="16"/>
  <c r="K31" i="16"/>
  <c r="K30" i="16"/>
  <c r="K29" i="16"/>
  <c r="K28" i="16"/>
  <c r="K27" i="16"/>
  <c r="K26" i="16"/>
  <c r="K25" i="16"/>
  <c r="K24" i="16"/>
  <c r="K23" i="16"/>
  <c r="K22" i="16"/>
  <c r="K21" i="16"/>
  <c r="K20" i="16"/>
  <c r="K19" i="16"/>
  <c r="K18" i="16"/>
  <c r="K17" i="16"/>
  <c r="K16" i="16"/>
  <c r="K15" i="16"/>
  <c r="K14" i="16"/>
  <c r="K13" i="16"/>
  <c r="K12" i="16"/>
  <c r="K11" i="16"/>
  <c r="K10" i="16"/>
  <c r="K9" i="16"/>
  <c r="K8" i="16"/>
  <c r="K7" i="16"/>
  <c r="K6" i="16"/>
  <c r="K5" i="16"/>
  <c r="A5" i="12"/>
  <c r="A6" i="12"/>
  <c r="A7" i="12"/>
  <c r="A8" i="12"/>
  <c r="A9" i="12"/>
  <c r="A10" i="12"/>
  <c r="A11" i="12"/>
  <c r="A12" i="12"/>
  <c r="A13" i="12"/>
  <c r="A14" i="12"/>
  <c r="A15" i="12"/>
  <c r="A16" i="12"/>
  <c r="A17" i="12"/>
  <c r="A18" i="12"/>
  <c r="A19" i="12"/>
  <c r="A20" i="12"/>
  <c r="A21" i="12"/>
  <c r="A22" i="12"/>
  <c r="A23" i="12"/>
  <c r="A24" i="12"/>
  <c r="A25" i="12"/>
  <c r="A26" i="12"/>
  <c r="A27" i="12"/>
  <c r="A28" i="12"/>
  <c r="A29" i="12"/>
  <c r="A30" i="12"/>
  <c r="A31" i="12"/>
  <c r="A32" i="12"/>
  <c r="A33" i="12"/>
  <c r="A34" i="12"/>
  <c r="E5" i="12"/>
  <c r="Q5" i="12"/>
  <c r="E6" i="12"/>
  <c r="Q6" i="12"/>
  <c r="E7" i="12"/>
  <c r="Q7" i="12"/>
  <c r="E8" i="12"/>
  <c r="Q8" i="12"/>
  <c r="E9" i="12"/>
  <c r="Q9" i="12"/>
  <c r="E10" i="12"/>
  <c r="Q10" i="12"/>
  <c r="E11" i="12"/>
  <c r="Q11" i="12"/>
  <c r="E12" i="12"/>
  <c r="Q12" i="12"/>
  <c r="Q13" i="12"/>
  <c r="Q14" i="12"/>
  <c r="E15" i="12"/>
  <c r="Q15" i="12"/>
  <c r="E16" i="12"/>
  <c r="Q16" i="12"/>
  <c r="E17" i="12"/>
  <c r="Q17" i="12"/>
  <c r="E18" i="12"/>
  <c r="Q18" i="12"/>
  <c r="E19" i="12"/>
  <c r="Q19" i="12"/>
  <c r="E20" i="12"/>
  <c r="Q20" i="12"/>
  <c r="E21" i="12"/>
  <c r="Q21" i="12"/>
  <c r="E22" i="12"/>
  <c r="Q22" i="12"/>
  <c r="E23" i="12"/>
  <c r="Q23" i="12"/>
  <c r="E24" i="12"/>
  <c r="Q24" i="12"/>
  <c r="E25" i="12"/>
  <c r="Q25" i="12"/>
  <c r="E26" i="12"/>
  <c r="Q26" i="12"/>
  <c r="E27" i="12"/>
  <c r="Q27" i="12"/>
  <c r="E28" i="12"/>
  <c r="Q28" i="12"/>
  <c r="E29" i="12"/>
  <c r="Q29" i="12"/>
  <c r="E30" i="12"/>
  <c r="Q30" i="12"/>
  <c r="E31" i="12"/>
  <c r="Q31" i="12"/>
  <c r="Q32" i="12"/>
  <c r="E33" i="12"/>
  <c r="Q33" i="12"/>
  <c r="E34" i="12"/>
  <c r="Q34" i="12"/>
  <c r="E30" i="15"/>
  <c r="L30" i="15"/>
  <c r="K30" i="15"/>
  <c r="D30" i="15"/>
  <c r="E29" i="15"/>
  <c r="L29" i="15"/>
  <c r="K29" i="15"/>
  <c r="D29" i="15"/>
  <c r="E28" i="15"/>
  <c r="L28" i="15"/>
  <c r="K28" i="15"/>
  <c r="D28" i="15"/>
  <c r="E27" i="15"/>
  <c r="L27" i="15"/>
  <c r="K27" i="15"/>
  <c r="D27" i="15"/>
  <c r="E26" i="15"/>
  <c r="L26" i="15"/>
  <c r="K26" i="15"/>
  <c r="D26" i="15"/>
  <c r="E25" i="15"/>
  <c r="L25" i="15"/>
  <c r="K25" i="15"/>
  <c r="D25" i="15"/>
  <c r="E24" i="15"/>
  <c r="L24" i="15"/>
  <c r="K24" i="15"/>
  <c r="D24" i="15"/>
  <c r="E23" i="15"/>
  <c r="L23" i="15"/>
  <c r="K23" i="15"/>
  <c r="D23" i="15"/>
  <c r="E22" i="15"/>
  <c r="L22" i="15"/>
  <c r="K22" i="15"/>
  <c r="D22" i="15"/>
  <c r="E21" i="15"/>
  <c r="L21" i="15"/>
  <c r="K21" i="15"/>
  <c r="D21" i="15"/>
  <c r="E20" i="15"/>
  <c r="L20" i="15"/>
  <c r="K20" i="15"/>
  <c r="D20" i="15"/>
  <c r="E19" i="15"/>
  <c r="L19" i="15"/>
  <c r="K19" i="15"/>
  <c r="D19" i="15"/>
  <c r="E18" i="15"/>
  <c r="L18" i="15"/>
  <c r="K18" i="15"/>
  <c r="D18" i="15"/>
  <c r="E17" i="15"/>
  <c r="L17" i="15"/>
  <c r="K17" i="15"/>
  <c r="D17" i="15"/>
  <c r="E16" i="15"/>
  <c r="L16" i="15"/>
  <c r="K16" i="15"/>
  <c r="D16" i="15"/>
  <c r="E15" i="15"/>
  <c r="L15" i="15"/>
  <c r="K15" i="15"/>
  <c r="D15" i="15"/>
  <c r="E14" i="15"/>
  <c r="L14" i="15"/>
  <c r="K14" i="15"/>
  <c r="D14" i="15"/>
  <c r="E13" i="15"/>
  <c r="L13" i="15"/>
  <c r="K13" i="15"/>
  <c r="D13" i="15"/>
  <c r="E12" i="15"/>
  <c r="L12" i="15"/>
  <c r="K12" i="15"/>
  <c r="D12" i="15"/>
  <c r="E11" i="15"/>
  <c r="L11" i="15"/>
  <c r="K11" i="15"/>
  <c r="D11" i="15"/>
  <c r="E10" i="15"/>
  <c r="L10" i="15"/>
  <c r="K10" i="15"/>
  <c r="D10" i="15"/>
  <c r="E9" i="15"/>
  <c r="L9" i="15"/>
  <c r="K9" i="15"/>
  <c r="D9" i="15"/>
  <c r="E8" i="15"/>
  <c r="L8" i="15"/>
  <c r="K8" i="15"/>
  <c r="D8" i="15"/>
  <c r="E7" i="15"/>
  <c r="L7" i="15"/>
  <c r="K7" i="15"/>
  <c r="D7" i="15"/>
  <c r="E6" i="15"/>
  <c r="L6" i="15"/>
  <c r="K6" i="15"/>
  <c r="D6" i="15"/>
  <c r="E5" i="15"/>
  <c r="L5" i="15"/>
  <c r="K5" i="15"/>
  <c r="D5" i="15"/>
  <c r="O61" i="14"/>
  <c r="I61" i="14"/>
  <c r="A5" i="7"/>
  <c r="A6" i="7"/>
  <c r="A7" i="7"/>
  <c r="K27" i="14" s="1"/>
  <c r="M27" i="14" s="1"/>
  <c r="O27" i="14" s="1"/>
  <c r="A8" i="7"/>
  <c r="K61" i="14"/>
  <c r="M61" i="14" s="1"/>
  <c r="D61" i="14"/>
  <c r="I60" i="14"/>
  <c r="D60" i="14"/>
  <c r="I59" i="14"/>
  <c r="D59" i="14"/>
  <c r="I58" i="14"/>
  <c r="D58" i="14"/>
  <c r="I57" i="14"/>
  <c r="K57" i="14"/>
  <c r="M57" i="14"/>
  <c r="O57" i="14" s="1"/>
  <c r="D57" i="14"/>
  <c r="I56" i="14"/>
  <c r="D56" i="14"/>
  <c r="O55" i="14"/>
  <c r="I55" i="14"/>
  <c r="D55" i="14"/>
  <c r="I54" i="14"/>
  <c r="D54" i="14"/>
  <c r="I53" i="14"/>
  <c r="K53" i="14"/>
  <c r="M53" i="14"/>
  <c r="O53" i="14" s="1"/>
  <c r="D53" i="14"/>
  <c r="O52" i="14"/>
  <c r="I52" i="14"/>
  <c r="D52" i="14"/>
  <c r="I51" i="14"/>
  <c r="D51" i="14"/>
  <c r="I50" i="14"/>
  <c r="D50" i="14"/>
  <c r="I49" i="14"/>
  <c r="K49" i="14"/>
  <c r="M49" i="14"/>
  <c r="O49" i="14" s="1"/>
  <c r="D49" i="14"/>
  <c r="I48" i="14"/>
  <c r="D48" i="14"/>
  <c r="I47" i="14"/>
  <c r="D47" i="14"/>
  <c r="O46" i="14"/>
  <c r="I46" i="14"/>
  <c r="D46" i="14"/>
  <c r="I45" i="14"/>
  <c r="K45" i="14"/>
  <c r="M45" i="14"/>
  <c r="O45" i="14" s="1"/>
  <c r="D45" i="14"/>
  <c r="I44" i="14"/>
  <c r="D44" i="14"/>
  <c r="O43" i="14"/>
  <c r="I43" i="14"/>
  <c r="D43" i="14"/>
  <c r="I42" i="14"/>
  <c r="D42" i="14"/>
  <c r="I41" i="14"/>
  <c r="K41" i="14"/>
  <c r="M41" i="14"/>
  <c r="O41" i="14" s="1"/>
  <c r="D41" i="14"/>
  <c r="I40" i="14"/>
  <c r="D40" i="14"/>
  <c r="I39" i="14"/>
  <c r="D39" i="14"/>
  <c r="I38" i="14"/>
  <c r="D38" i="14"/>
  <c r="I37" i="14"/>
  <c r="K37" i="14"/>
  <c r="M37" i="14"/>
  <c r="O37" i="14" s="1"/>
  <c r="D37" i="14"/>
  <c r="I36" i="14"/>
  <c r="D36" i="14"/>
  <c r="I35" i="14"/>
  <c r="D35" i="14"/>
  <c r="I34" i="14"/>
  <c r="D34" i="14"/>
  <c r="I33" i="14"/>
  <c r="K33" i="14"/>
  <c r="M33" i="14"/>
  <c r="O33" i="14" s="1"/>
  <c r="D33" i="14"/>
  <c r="O32" i="14"/>
  <c r="I32" i="14"/>
  <c r="D32" i="14"/>
  <c r="I31" i="14"/>
  <c r="D31" i="14"/>
  <c r="I30" i="14"/>
  <c r="D30" i="14"/>
  <c r="I29" i="14"/>
  <c r="K29" i="14"/>
  <c r="M29" i="14"/>
  <c r="O29" i="14" s="1"/>
  <c r="D29" i="14"/>
  <c r="O28" i="14"/>
  <c r="I28" i="14"/>
  <c r="D28" i="14"/>
  <c r="I27" i="14"/>
  <c r="D27" i="14"/>
  <c r="I26" i="14"/>
  <c r="D26" i="14"/>
  <c r="I25" i="14"/>
  <c r="K25" i="14"/>
  <c r="M25" i="14"/>
  <c r="O25" i="14" s="1"/>
  <c r="D25" i="14"/>
  <c r="I24" i="14"/>
  <c r="D24" i="14"/>
  <c r="O23" i="14"/>
  <c r="I23" i="14"/>
  <c r="K23" i="14"/>
  <c r="M23" i="14" s="1"/>
  <c r="D23" i="14"/>
  <c r="I22" i="14"/>
  <c r="D22" i="14"/>
  <c r="O21" i="14"/>
  <c r="I21" i="14"/>
  <c r="D21" i="14"/>
  <c r="O20" i="14"/>
  <c r="I20" i="14"/>
  <c r="D20" i="14"/>
  <c r="I19" i="14"/>
  <c r="K19" i="14"/>
  <c r="M19" i="14"/>
  <c r="O19" i="14" s="1"/>
  <c r="D19" i="14"/>
  <c r="I18" i="14"/>
  <c r="D18" i="14"/>
  <c r="I17" i="14"/>
  <c r="D17" i="14"/>
  <c r="I16" i="14"/>
  <c r="D16" i="14"/>
  <c r="I15" i="14"/>
  <c r="K15" i="14"/>
  <c r="M15" i="14"/>
  <c r="O15" i="14" s="1"/>
  <c r="D15" i="14"/>
  <c r="I14" i="14"/>
  <c r="D14" i="14"/>
  <c r="I13" i="14"/>
  <c r="D13" i="14"/>
  <c r="I12" i="14"/>
  <c r="D12" i="14"/>
  <c r="I11" i="14"/>
  <c r="K11" i="14"/>
  <c r="M11" i="14"/>
  <c r="O11" i="14" s="1"/>
  <c r="D11" i="14"/>
  <c r="I10" i="14"/>
  <c r="D10" i="14"/>
  <c r="I9" i="14"/>
  <c r="D9" i="14"/>
  <c r="I8" i="14"/>
  <c r="D8" i="14"/>
  <c r="O7" i="14"/>
  <c r="I7" i="14"/>
  <c r="K7" i="14"/>
  <c r="M7" i="14" s="1"/>
  <c r="D7" i="14"/>
  <c r="O6" i="14"/>
  <c r="I6" i="14"/>
  <c r="D6" i="14"/>
  <c r="I5" i="14"/>
  <c r="D5" i="14"/>
  <c r="N134" i="13"/>
  <c r="I134" i="13"/>
  <c r="H134" i="13"/>
  <c r="G134" i="13"/>
  <c r="F134" i="13"/>
  <c r="D134" i="13"/>
  <c r="C134" i="13"/>
  <c r="N133" i="13"/>
  <c r="I133" i="13"/>
  <c r="H133" i="13"/>
  <c r="G133" i="13"/>
  <c r="F133" i="13"/>
  <c r="D133" i="13"/>
  <c r="C133" i="13"/>
  <c r="N132" i="13"/>
  <c r="I132" i="13"/>
  <c r="H132" i="13"/>
  <c r="G132" i="13"/>
  <c r="F132" i="13"/>
  <c r="D132" i="13"/>
  <c r="C132" i="13"/>
  <c r="N131" i="13"/>
  <c r="I131" i="13"/>
  <c r="H131" i="13"/>
  <c r="G131" i="13"/>
  <c r="F131" i="13"/>
  <c r="D131" i="13"/>
  <c r="C131" i="13"/>
  <c r="N130" i="13"/>
  <c r="I130" i="13"/>
  <c r="H130" i="13"/>
  <c r="G130" i="13"/>
  <c r="F130" i="13"/>
  <c r="D130" i="13"/>
  <c r="C130" i="13"/>
  <c r="N129" i="13"/>
  <c r="I129" i="13"/>
  <c r="H129" i="13"/>
  <c r="G129" i="13"/>
  <c r="F129" i="13"/>
  <c r="D129" i="13"/>
  <c r="C129" i="13"/>
  <c r="N128" i="13"/>
  <c r="I128" i="13"/>
  <c r="H128" i="13"/>
  <c r="G128" i="13"/>
  <c r="F128" i="13"/>
  <c r="D128" i="13"/>
  <c r="C128" i="13"/>
  <c r="N127" i="13"/>
  <c r="I127" i="13"/>
  <c r="H127" i="13"/>
  <c r="G127" i="13"/>
  <c r="F127" i="13"/>
  <c r="D127" i="13"/>
  <c r="C127" i="13"/>
  <c r="N126" i="13"/>
  <c r="I126" i="13"/>
  <c r="H126" i="13"/>
  <c r="G126" i="13"/>
  <c r="F126" i="13"/>
  <c r="D126" i="13"/>
  <c r="C126" i="13"/>
  <c r="N125" i="13"/>
  <c r="I125" i="13"/>
  <c r="H125" i="13"/>
  <c r="G125" i="13"/>
  <c r="F125" i="13"/>
  <c r="D125" i="13"/>
  <c r="C125" i="13"/>
  <c r="N124" i="13"/>
  <c r="I124" i="13"/>
  <c r="H124" i="13"/>
  <c r="G124" i="13"/>
  <c r="F124" i="13"/>
  <c r="D124" i="13"/>
  <c r="C124" i="13"/>
  <c r="N123" i="13"/>
  <c r="I123" i="13"/>
  <c r="H123" i="13"/>
  <c r="G123" i="13"/>
  <c r="F123" i="13"/>
  <c r="D123" i="13"/>
  <c r="C123" i="13"/>
  <c r="N122" i="13"/>
  <c r="I122" i="13"/>
  <c r="H122" i="13"/>
  <c r="G122" i="13"/>
  <c r="F122" i="13"/>
  <c r="D122" i="13"/>
  <c r="C122" i="13"/>
  <c r="N121" i="13"/>
  <c r="I121" i="13"/>
  <c r="H121" i="13"/>
  <c r="G121" i="13"/>
  <c r="F121" i="13"/>
  <c r="D121" i="13"/>
  <c r="C121" i="13"/>
  <c r="N120" i="13"/>
  <c r="I120" i="13"/>
  <c r="H120" i="13"/>
  <c r="G120" i="13"/>
  <c r="F120" i="13"/>
  <c r="D120" i="13"/>
  <c r="C120" i="13"/>
  <c r="N119" i="13"/>
  <c r="I119" i="13"/>
  <c r="H119" i="13"/>
  <c r="G119" i="13"/>
  <c r="F119" i="13"/>
  <c r="D119" i="13"/>
  <c r="C119" i="13"/>
  <c r="N118" i="13"/>
  <c r="I118" i="13"/>
  <c r="H118" i="13"/>
  <c r="G118" i="13"/>
  <c r="F118" i="13"/>
  <c r="D118" i="13"/>
  <c r="C118" i="13"/>
  <c r="N117" i="13"/>
  <c r="I117" i="13"/>
  <c r="H117" i="13"/>
  <c r="G117" i="13"/>
  <c r="F117" i="13"/>
  <c r="D117" i="13"/>
  <c r="C117" i="13"/>
  <c r="N116" i="13"/>
  <c r="I116" i="13"/>
  <c r="H116" i="13"/>
  <c r="G116" i="13"/>
  <c r="F116" i="13"/>
  <c r="D116" i="13"/>
  <c r="C116" i="13"/>
  <c r="N115" i="13"/>
  <c r="I115" i="13"/>
  <c r="H115" i="13"/>
  <c r="G115" i="13"/>
  <c r="F115" i="13"/>
  <c r="D115" i="13"/>
  <c r="C115" i="13"/>
  <c r="N114" i="13"/>
  <c r="I114" i="13"/>
  <c r="H114" i="13"/>
  <c r="G114" i="13"/>
  <c r="F114" i="13"/>
  <c r="D114" i="13"/>
  <c r="C114" i="13"/>
  <c r="N113" i="13"/>
  <c r="I113" i="13"/>
  <c r="H113" i="13"/>
  <c r="G113" i="13"/>
  <c r="F113" i="13"/>
  <c r="D113" i="13"/>
  <c r="C113" i="13"/>
  <c r="N112" i="13"/>
  <c r="I112" i="13"/>
  <c r="H112" i="13"/>
  <c r="G112" i="13"/>
  <c r="F112" i="13"/>
  <c r="D112" i="13"/>
  <c r="C112" i="13"/>
  <c r="N111" i="13"/>
  <c r="I111" i="13"/>
  <c r="H111" i="13"/>
  <c r="G111" i="13"/>
  <c r="F111" i="13"/>
  <c r="D111" i="13"/>
  <c r="C111" i="13"/>
  <c r="N110" i="13"/>
  <c r="I110" i="13"/>
  <c r="H110" i="13"/>
  <c r="G110" i="13"/>
  <c r="F110" i="13"/>
  <c r="D110" i="13"/>
  <c r="C110" i="13"/>
  <c r="N109" i="13"/>
  <c r="I109" i="13"/>
  <c r="H109" i="13"/>
  <c r="G109" i="13"/>
  <c r="F109" i="13"/>
  <c r="D109" i="13"/>
  <c r="C109" i="13"/>
  <c r="N108" i="13"/>
  <c r="I108" i="13"/>
  <c r="H108" i="13"/>
  <c r="G108" i="13"/>
  <c r="F108" i="13"/>
  <c r="D108" i="13"/>
  <c r="C108" i="13"/>
  <c r="N107" i="13"/>
  <c r="I107" i="13"/>
  <c r="H107" i="13"/>
  <c r="G107" i="13"/>
  <c r="F107" i="13"/>
  <c r="D107" i="13"/>
  <c r="C107" i="13"/>
  <c r="N106" i="13"/>
  <c r="I106" i="13"/>
  <c r="H106" i="13"/>
  <c r="G106" i="13"/>
  <c r="F106" i="13"/>
  <c r="D106" i="13"/>
  <c r="C106" i="13"/>
  <c r="N105" i="13"/>
  <c r="I105" i="13"/>
  <c r="H105" i="13"/>
  <c r="G105" i="13"/>
  <c r="F105" i="13"/>
  <c r="D105" i="13"/>
  <c r="C105" i="13"/>
  <c r="N104" i="13"/>
  <c r="I104" i="13"/>
  <c r="H104" i="13"/>
  <c r="G104" i="13"/>
  <c r="F104" i="13"/>
  <c r="D104" i="13"/>
  <c r="C104" i="13"/>
  <c r="N103" i="13"/>
  <c r="I103" i="13"/>
  <c r="H103" i="13"/>
  <c r="G103" i="13"/>
  <c r="F103" i="13"/>
  <c r="D103" i="13"/>
  <c r="C103" i="13"/>
  <c r="N102" i="13"/>
  <c r="I102" i="13"/>
  <c r="H102" i="13"/>
  <c r="G102" i="13"/>
  <c r="F102" i="13"/>
  <c r="D102" i="13"/>
  <c r="C102" i="13"/>
  <c r="N101" i="13"/>
  <c r="I101" i="13"/>
  <c r="H101" i="13"/>
  <c r="G101" i="13"/>
  <c r="F101" i="13"/>
  <c r="D101" i="13"/>
  <c r="C101" i="13"/>
  <c r="N100" i="13"/>
  <c r="I100" i="13"/>
  <c r="H100" i="13"/>
  <c r="G100" i="13"/>
  <c r="F100" i="13"/>
  <c r="D100" i="13"/>
  <c r="C100" i="13"/>
  <c r="N99" i="13"/>
  <c r="I99" i="13"/>
  <c r="H99" i="13"/>
  <c r="G99" i="13"/>
  <c r="F99" i="13"/>
  <c r="D99" i="13"/>
  <c r="C99" i="13"/>
  <c r="N98" i="13"/>
  <c r="I98" i="13"/>
  <c r="H98" i="13"/>
  <c r="G98" i="13"/>
  <c r="F98" i="13"/>
  <c r="D98" i="13"/>
  <c r="C98" i="13"/>
  <c r="N97" i="13"/>
  <c r="I97" i="13"/>
  <c r="H97" i="13"/>
  <c r="G97" i="13"/>
  <c r="F97" i="13"/>
  <c r="D97" i="13"/>
  <c r="C97" i="13"/>
  <c r="N96" i="13"/>
  <c r="I96" i="13"/>
  <c r="H96" i="13"/>
  <c r="G96" i="13"/>
  <c r="F96" i="13"/>
  <c r="D96" i="13"/>
  <c r="C96" i="13"/>
  <c r="N95" i="13"/>
  <c r="I95" i="13"/>
  <c r="H95" i="13"/>
  <c r="G95" i="13"/>
  <c r="F95" i="13"/>
  <c r="D95" i="13"/>
  <c r="C95" i="13"/>
  <c r="N94" i="13"/>
  <c r="I94" i="13"/>
  <c r="H94" i="13"/>
  <c r="G94" i="13"/>
  <c r="F94" i="13"/>
  <c r="D94" i="13"/>
  <c r="C94" i="13"/>
  <c r="N93" i="13"/>
  <c r="I93" i="13"/>
  <c r="H93" i="13"/>
  <c r="G93" i="13"/>
  <c r="F93" i="13"/>
  <c r="D93" i="13"/>
  <c r="C93" i="13"/>
  <c r="N92" i="13"/>
  <c r="I92" i="13"/>
  <c r="H92" i="13"/>
  <c r="G92" i="13"/>
  <c r="F92" i="13"/>
  <c r="D92" i="13"/>
  <c r="C92" i="13"/>
  <c r="N91" i="13"/>
  <c r="I91" i="13"/>
  <c r="H91" i="13"/>
  <c r="G91" i="13"/>
  <c r="F91" i="13"/>
  <c r="D91" i="13"/>
  <c r="C91" i="13"/>
  <c r="N90" i="13"/>
  <c r="I90" i="13"/>
  <c r="H90" i="13"/>
  <c r="G90" i="13"/>
  <c r="F90" i="13"/>
  <c r="D90" i="13"/>
  <c r="C90" i="13"/>
  <c r="N89" i="13"/>
  <c r="I89" i="13"/>
  <c r="H89" i="13"/>
  <c r="G89" i="13"/>
  <c r="F89" i="13"/>
  <c r="D89" i="13"/>
  <c r="C89" i="13"/>
  <c r="N88" i="13"/>
  <c r="I88" i="13"/>
  <c r="H88" i="13"/>
  <c r="G88" i="13"/>
  <c r="F88" i="13"/>
  <c r="D88" i="13"/>
  <c r="C88" i="13"/>
  <c r="N87" i="13"/>
  <c r="I87" i="13"/>
  <c r="H87" i="13"/>
  <c r="G87" i="13"/>
  <c r="F87" i="13"/>
  <c r="D87" i="13"/>
  <c r="C87" i="13"/>
  <c r="N86" i="13"/>
  <c r="I86" i="13"/>
  <c r="H86" i="13"/>
  <c r="G86" i="13"/>
  <c r="F86" i="13"/>
  <c r="D86" i="13"/>
  <c r="C86" i="13"/>
  <c r="N85" i="13"/>
  <c r="I85" i="13"/>
  <c r="H85" i="13"/>
  <c r="G85" i="13"/>
  <c r="F85" i="13"/>
  <c r="D85" i="13"/>
  <c r="C85" i="13"/>
  <c r="N84" i="13"/>
  <c r="I84" i="13"/>
  <c r="H84" i="13"/>
  <c r="G84" i="13"/>
  <c r="F84" i="13"/>
  <c r="D84" i="13"/>
  <c r="C84" i="13"/>
  <c r="N83" i="13"/>
  <c r="I83" i="13"/>
  <c r="H83" i="13"/>
  <c r="G83" i="13"/>
  <c r="F83" i="13"/>
  <c r="D83" i="13"/>
  <c r="C83" i="13"/>
  <c r="N82" i="13"/>
  <c r="I82" i="13"/>
  <c r="H82" i="13"/>
  <c r="G82" i="13"/>
  <c r="F82" i="13"/>
  <c r="D82" i="13"/>
  <c r="C82" i="13"/>
  <c r="N81" i="13"/>
  <c r="I81" i="13"/>
  <c r="H81" i="13"/>
  <c r="G81" i="13"/>
  <c r="F81" i="13"/>
  <c r="D81" i="13"/>
  <c r="C81" i="13"/>
  <c r="N80" i="13"/>
  <c r="I80" i="13"/>
  <c r="H80" i="13"/>
  <c r="G80" i="13"/>
  <c r="F80" i="13"/>
  <c r="D80" i="13"/>
  <c r="C80" i="13"/>
  <c r="N79" i="13"/>
  <c r="I79" i="13"/>
  <c r="H79" i="13"/>
  <c r="G79" i="13"/>
  <c r="F79" i="13"/>
  <c r="D79" i="13"/>
  <c r="C79" i="13"/>
  <c r="N78" i="13"/>
  <c r="I78" i="13"/>
  <c r="H78" i="13"/>
  <c r="G78" i="13"/>
  <c r="F78" i="13"/>
  <c r="D78" i="13"/>
  <c r="C78" i="13"/>
  <c r="N77" i="13"/>
  <c r="I77" i="13"/>
  <c r="H77" i="13"/>
  <c r="G77" i="13"/>
  <c r="F77" i="13"/>
  <c r="D77" i="13"/>
  <c r="C77" i="13"/>
  <c r="N76" i="13"/>
  <c r="I76" i="13"/>
  <c r="H76" i="13"/>
  <c r="G76" i="13"/>
  <c r="F76" i="13"/>
  <c r="D76" i="13"/>
  <c r="C76" i="13"/>
  <c r="N75" i="13"/>
  <c r="I75" i="13"/>
  <c r="H75" i="13"/>
  <c r="G75" i="13"/>
  <c r="F75" i="13"/>
  <c r="D75" i="13"/>
  <c r="C75" i="13"/>
  <c r="N74" i="13"/>
  <c r="I74" i="13"/>
  <c r="H74" i="13"/>
  <c r="G74" i="13"/>
  <c r="F74" i="13"/>
  <c r="D74" i="13"/>
  <c r="C74" i="13"/>
  <c r="N73" i="13"/>
  <c r="I73" i="13"/>
  <c r="H73" i="13"/>
  <c r="G73" i="13"/>
  <c r="F73" i="13"/>
  <c r="D73" i="13"/>
  <c r="C73" i="13"/>
  <c r="N72" i="13"/>
  <c r="I72" i="13"/>
  <c r="H72" i="13"/>
  <c r="G72" i="13"/>
  <c r="F72" i="13"/>
  <c r="D72" i="13"/>
  <c r="C72" i="13"/>
  <c r="N71" i="13"/>
  <c r="I71" i="13"/>
  <c r="H71" i="13"/>
  <c r="G71" i="13"/>
  <c r="F71" i="13"/>
  <c r="D71" i="13"/>
  <c r="C71" i="13"/>
  <c r="N70" i="13"/>
  <c r="I70" i="13"/>
  <c r="H70" i="13"/>
  <c r="G70" i="13"/>
  <c r="F70" i="13"/>
  <c r="D70" i="13"/>
  <c r="C70" i="13"/>
  <c r="N69" i="13"/>
  <c r="I69" i="13"/>
  <c r="H69" i="13"/>
  <c r="G69" i="13"/>
  <c r="F69" i="13"/>
  <c r="D69" i="13"/>
  <c r="C69" i="13"/>
  <c r="N68" i="13"/>
  <c r="I68" i="13"/>
  <c r="H68" i="13"/>
  <c r="G68" i="13"/>
  <c r="F68" i="13"/>
  <c r="D68" i="13"/>
  <c r="C68" i="13"/>
  <c r="N67" i="13"/>
  <c r="I67" i="13"/>
  <c r="H67" i="13"/>
  <c r="G67" i="13"/>
  <c r="F67" i="13"/>
  <c r="D67" i="13"/>
  <c r="C67" i="13"/>
  <c r="N66" i="13"/>
  <c r="I66" i="13"/>
  <c r="H66" i="13"/>
  <c r="G66" i="13"/>
  <c r="F66" i="13"/>
  <c r="D66" i="13"/>
  <c r="C66" i="13"/>
  <c r="N65" i="13"/>
  <c r="I65" i="13"/>
  <c r="H65" i="13"/>
  <c r="G65" i="13"/>
  <c r="F65" i="13"/>
  <c r="D65" i="13"/>
  <c r="C65" i="13"/>
  <c r="N64" i="13"/>
  <c r="I64" i="13"/>
  <c r="H64" i="13"/>
  <c r="G64" i="13"/>
  <c r="F64" i="13"/>
  <c r="D64" i="13"/>
  <c r="C64" i="13"/>
  <c r="N63" i="13"/>
  <c r="I63" i="13"/>
  <c r="H63" i="13"/>
  <c r="G63" i="13"/>
  <c r="F63" i="13"/>
  <c r="D63" i="13"/>
  <c r="C63" i="13"/>
  <c r="N62" i="13"/>
  <c r="I62" i="13"/>
  <c r="H62" i="13"/>
  <c r="G62" i="13"/>
  <c r="F62" i="13"/>
  <c r="D62" i="13"/>
  <c r="C62" i="13"/>
  <c r="N61" i="13"/>
  <c r="I61" i="13"/>
  <c r="H61" i="13"/>
  <c r="G61" i="13"/>
  <c r="F61" i="13"/>
  <c r="D61" i="13"/>
  <c r="C61" i="13"/>
  <c r="N60" i="13"/>
  <c r="I60" i="13"/>
  <c r="H60" i="13"/>
  <c r="G60" i="13"/>
  <c r="F60" i="13"/>
  <c r="D60" i="13"/>
  <c r="C60" i="13"/>
  <c r="N59" i="13"/>
  <c r="I59" i="13"/>
  <c r="H59" i="13"/>
  <c r="G59" i="13"/>
  <c r="F59" i="13"/>
  <c r="D59" i="13"/>
  <c r="C59" i="13"/>
  <c r="N58" i="13"/>
  <c r="I58" i="13"/>
  <c r="H58" i="13"/>
  <c r="G58" i="13"/>
  <c r="F58" i="13"/>
  <c r="D58" i="13"/>
  <c r="C58" i="13"/>
  <c r="N57" i="13"/>
  <c r="I57" i="13"/>
  <c r="H57" i="13"/>
  <c r="G57" i="13"/>
  <c r="F57" i="13"/>
  <c r="D57" i="13"/>
  <c r="C57" i="13"/>
  <c r="N56" i="13"/>
  <c r="I56" i="13"/>
  <c r="H56" i="13"/>
  <c r="G56" i="13"/>
  <c r="F56" i="13"/>
  <c r="D56" i="13"/>
  <c r="C56" i="13"/>
  <c r="N55" i="13"/>
  <c r="I55" i="13"/>
  <c r="H55" i="13"/>
  <c r="G55" i="13"/>
  <c r="F55" i="13"/>
  <c r="D55" i="13"/>
  <c r="C55" i="13"/>
  <c r="N54" i="13"/>
  <c r="I54" i="13"/>
  <c r="H54" i="13"/>
  <c r="G54" i="13"/>
  <c r="F54" i="13"/>
  <c r="D54" i="13"/>
  <c r="C54" i="13"/>
  <c r="N53" i="13"/>
  <c r="I53" i="13"/>
  <c r="H53" i="13"/>
  <c r="G53" i="13"/>
  <c r="F53" i="13"/>
  <c r="D53" i="13"/>
  <c r="C53" i="13"/>
  <c r="N52" i="13"/>
  <c r="I52" i="13"/>
  <c r="H52" i="13"/>
  <c r="G52" i="13"/>
  <c r="F52" i="13"/>
  <c r="D52" i="13"/>
  <c r="C52" i="13"/>
  <c r="N51" i="13"/>
  <c r="I51" i="13"/>
  <c r="H51" i="13"/>
  <c r="G51" i="13"/>
  <c r="F51" i="13"/>
  <c r="D51" i="13"/>
  <c r="C51" i="13"/>
  <c r="N50" i="13"/>
  <c r="I50" i="13"/>
  <c r="H50" i="13"/>
  <c r="G50" i="13"/>
  <c r="F50" i="13"/>
  <c r="D50" i="13"/>
  <c r="C50" i="13"/>
  <c r="N49" i="13"/>
  <c r="I49" i="13"/>
  <c r="H49" i="13"/>
  <c r="G49" i="13"/>
  <c r="F49" i="13"/>
  <c r="D49" i="13"/>
  <c r="C49" i="13"/>
  <c r="N48" i="13"/>
  <c r="I48" i="13"/>
  <c r="H48" i="13"/>
  <c r="G48" i="13"/>
  <c r="F48" i="13"/>
  <c r="D48" i="13"/>
  <c r="C48" i="13"/>
  <c r="N47" i="13"/>
  <c r="I47" i="13"/>
  <c r="H47" i="13"/>
  <c r="G47" i="13"/>
  <c r="F47" i="13"/>
  <c r="D47" i="13"/>
  <c r="C47" i="13"/>
  <c r="N46" i="13"/>
  <c r="I46" i="13"/>
  <c r="H46" i="13"/>
  <c r="G46" i="13"/>
  <c r="F46" i="13"/>
  <c r="D46" i="13"/>
  <c r="C46" i="13"/>
  <c r="N45" i="13"/>
  <c r="I45" i="13"/>
  <c r="H45" i="13"/>
  <c r="G45" i="13"/>
  <c r="F45" i="13"/>
  <c r="D45" i="13"/>
  <c r="C45" i="13"/>
  <c r="N44" i="13"/>
  <c r="I44" i="13"/>
  <c r="H44" i="13"/>
  <c r="G44" i="13"/>
  <c r="F44" i="13"/>
  <c r="D44" i="13"/>
  <c r="C44" i="13"/>
  <c r="N43" i="13"/>
  <c r="I43" i="13"/>
  <c r="H43" i="13"/>
  <c r="G43" i="13"/>
  <c r="F43" i="13"/>
  <c r="D43" i="13"/>
  <c r="C43" i="13"/>
  <c r="N42" i="13"/>
  <c r="I42" i="13"/>
  <c r="H42" i="13"/>
  <c r="G42" i="13"/>
  <c r="F42" i="13"/>
  <c r="D42" i="13"/>
  <c r="C42" i="13"/>
  <c r="N41" i="13"/>
  <c r="I41" i="13"/>
  <c r="H41" i="13"/>
  <c r="G41" i="13"/>
  <c r="F41" i="13"/>
  <c r="D41" i="13"/>
  <c r="C41" i="13"/>
  <c r="N40" i="13"/>
  <c r="I40" i="13"/>
  <c r="H40" i="13"/>
  <c r="G40" i="13"/>
  <c r="F40" i="13"/>
  <c r="D40" i="13"/>
  <c r="C40" i="13"/>
  <c r="N39" i="13"/>
  <c r="I39" i="13"/>
  <c r="H39" i="13"/>
  <c r="G39" i="13"/>
  <c r="F39" i="13"/>
  <c r="D39" i="13"/>
  <c r="C39" i="13"/>
  <c r="N38" i="13"/>
  <c r="I38" i="13"/>
  <c r="H38" i="13"/>
  <c r="G38" i="13"/>
  <c r="F38" i="13"/>
  <c r="D38" i="13"/>
  <c r="C38" i="13"/>
  <c r="N37" i="13"/>
  <c r="I37" i="13"/>
  <c r="H37" i="13"/>
  <c r="G37" i="13"/>
  <c r="F37" i="13"/>
  <c r="D37" i="13"/>
  <c r="C37" i="13"/>
  <c r="N36" i="13"/>
  <c r="I36" i="13"/>
  <c r="H36" i="13"/>
  <c r="G36" i="13"/>
  <c r="F36" i="13"/>
  <c r="D36" i="13"/>
  <c r="C36" i="13"/>
  <c r="N35" i="13"/>
  <c r="I35" i="13"/>
  <c r="H35" i="13"/>
  <c r="G35" i="13"/>
  <c r="F35" i="13"/>
  <c r="D35" i="13"/>
  <c r="C35" i="13"/>
  <c r="N34" i="13"/>
  <c r="I34" i="13"/>
  <c r="H34" i="13"/>
  <c r="G34" i="13"/>
  <c r="F34" i="13"/>
  <c r="D34" i="13"/>
  <c r="C34" i="13"/>
  <c r="N33" i="13"/>
  <c r="I33" i="13"/>
  <c r="H33" i="13"/>
  <c r="G33" i="13"/>
  <c r="F33" i="13"/>
  <c r="D33" i="13"/>
  <c r="C33" i="13"/>
  <c r="N32" i="13"/>
  <c r="I32" i="13"/>
  <c r="H32" i="13"/>
  <c r="G32" i="13"/>
  <c r="F32" i="13"/>
  <c r="D32" i="13"/>
  <c r="C32" i="13"/>
  <c r="N31" i="13"/>
  <c r="I31" i="13"/>
  <c r="H31" i="13"/>
  <c r="G31" i="13"/>
  <c r="F31" i="13"/>
  <c r="D31" i="13"/>
  <c r="C31" i="13"/>
  <c r="N30" i="13"/>
  <c r="I30" i="13"/>
  <c r="H30" i="13"/>
  <c r="G30" i="13"/>
  <c r="F30" i="13"/>
  <c r="D30" i="13"/>
  <c r="C30" i="13"/>
  <c r="N29" i="13"/>
  <c r="I29" i="13"/>
  <c r="H29" i="13"/>
  <c r="G29" i="13"/>
  <c r="F29" i="13"/>
  <c r="D29" i="13"/>
  <c r="C29" i="13"/>
  <c r="N28" i="13"/>
  <c r="I28" i="13"/>
  <c r="H28" i="13"/>
  <c r="G28" i="13"/>
  <c r="F28" i="13"/>
  <c r="D28" i="13"/>
  <c r="C28" i="13"/>
  <c r="N27" i="13"/>
  <c r="I27" i="13"/>
  <c r="H27" i="13"/>
  <c r="G27" i="13"/>
  <c r="F27" i="13"/>
  <c r="D27" i="13"/>
  <c r="C27" i="13"/>
  <c r="N26" i="13"/>
  <c r="I26" i="13"/>
  <c r="H26" i="13"/>
  <c r="G26" i="13"/>
  <c r="F26" i="13"/>
  <c r="D26" i="13"/>
  <c r="C26" i="13"/>
  <c r="N25" i="13"/>
  <c r="I25" i="13"/>
  <c r="H25" i="13"/>
  <c r="G25" i="13"/>
  <c r="F25" i="13"/>
  <c r="D25" i="13"/>
  <c r="C25" i="13"/>
  <c r="N24" i="13"/>
  <c r="I24" i="13"/>
  <c r="H24" i="13"/>
  <c r="G24" i="13"/>
  <c r="F24" i="13"/>
  <c r="D24" i="13"/>
  <c r="C24" i="13"/>
  <c r="N23" i="13"/>
  <c r="I23" i="13"/>
  <c r="H23" i="13"/>
  <c r="G23" i="13"/>
  <c r="F23" i="13"/>
  <c r="D23" i="13"/>
  <c r="C23" i="13"/>
  <c r="N22" i="13"/>
  <c r="I22" i="13"/>
  <c r="H22" i="13"/>
  <c r="G22" i="13"/>
  <c r="F22" i="13"/>
  <c r="D22" i="13"/>
  <c r="C22" i="13"/>
  <c r="N21" i="13"/>
  <c r="I21" i="13"/>
  <c r="H21" i="13"/>
  <c r="G21" i="13"/>
  <c r="F21" i="13"/>
  <c r="D21" i="13"/>
  <c r="C21" i="13"/>
  <c r="N20" i="13"/>
  <c r="I20" i="13"/>
  <c r="H20" i="13"/>
  <c r="G20" i="13"/>
  <c r="F20" i="13"/>
  <c r="D20" i="13"/>
  <c r="C20" i="13"/>
  <c r="N19" i="13"/>
  <c r="I19" i="13"/>
  <c r="H19" i="13"/>
  <c r="G19" i="13"/>
  <c r="F19" i="13"/>
  <c r="D19" i="13"/>
  <c r="C19" i="13"/>
  <c r="N18" i="13"/>
  <c r="I18" i="13"/>
  <c r="H18" i="13"/>
  <c r="G18" i="13"/>
  <c r="F18" i="13"/>
  <c r="D18" i="13"/>
  <c r="C18" i="13"/>
  <c r="N17" i="13"/>
  <c r="I17" i="13"/>
  <c r="H17" i="13"/>
  <c r="G17" i="13"/>
  <c r="F17" i="13"/>
  <c r="D17" i="13"/>
  <c r="C17" i="13"/>
  <c r="N16" i="13"/>
  <c r="I16" i="13"/>
  <c r="H16" i="13"/>
  <c r="G16" i="13"/>
  <c r="F16" i="13"/>
  <c r="D16" i="13"/>
  <c r="C16" i="13"/>
  <c r="N15" i="13"/>
  <c r="I15" i="13"/>
  <c r="H15" i="13"/>
  <c r="G15" i="13"/>
  <c r="F15" i="13"/>
  <c r="D15" i="13"/>
  <c r="C15" i="13"/>
  <c r="N14" i="13"/>
  <c r="I14" i="13"/>
  <c r="H14" i="13"/>
  <c r="G14" i="13"/>
  <c r="F14" i="13"/>
  <c r="D14" i="13"/>
  <c r="C14" i="13"/>
  <c r="N13" i="13"/>
  <c r="I13" i="13"/>
  <c r="H13" i="13"/>
  <c r="G13" i="13"/>
  <c r="F13" i="13"/>
  <c r="D13" i="13"/>
  <c r="C13" i="13"/>
  <c r="N12" i="13"/>
  <c r="I12" i="13"/>
  <c r="H12" i="13"/>
  <c r="G12" i="13"/>
  <c r="F12" i="13"/>
  <c r="D12" i="13"/>
  <c r="C12" i="13"/>
  <c r="N11" i="13"/>
  <c r="I11" i="13"/>
  <c r="H11" i="13"/>
  <c r="G11" i="13"/>
  <c r="F11" i="13"/>
  <c r="D11" i="13"/>
  <c r="C11" i="13"/>
  <c r="N10" i="13"/>
  <c r="I10" i="13"/>
  <c r="H10" i="13"/>
  <c r="G10" i="13"/>
  <c r="F10" i="13"/>
  <c r="D10" i="13"/>
  <c r="C10" i="13"/>
  <c r="N9" i="13"/>
  <c r="I9" i="13"/>
  <c r="H9" i="13"/>
  <c r="G9" i="13"/>
  <c r="F9" i="13"/>
  <c r="D9" i="13"/>
  <c r="C9" i="13"/>
  <c r="N8" i="13"/>
  <c r="I8" i="13"/>
  <c r="H8" i="13"/>
  <c r="G8" i="13"/>
  <c r="F8" i="13"/>
  <c r="D8" i="13"/>
  <c r="C8" i="13"/>
  <c r="N7" i="13"/>
  <c r="I7" i="13"/>
  <c r="H7" i="13"/>
  <c r="G7" i="13"/>
  <c r="F7" i="13"/>
  <c r="D7" i="13"/>
  <c r="C7" i="13"/>
  <c r="N6" i="13"/>
  <c r="I6" i="13"/>
  <c r="H6" i="13"/>
  <c r="G6" i="13"/>
  <c r="F6" i="13"/>
  <c r="D6" i="13"/>
  <c r="C6" i="13"/>
  <c r="N5" i="13"/>
  <c r="I5" i="13"/>
  <c r="H5" i="13"/>
  <c r="G5" i="13"/>
  <c r="F5" i="13"/>
  <c r="D5" i="13"/>
  <c r="C5" i="13"/>
  <c r="C34" i="12"/>
  <c r="N34" i="12" s="1"/>
  <c r="M34" i="12"/>
  <c r="D34" i="12"/>
  <c r="B34" i="12"/>
  <c r="C33" i="12"/>
  <c r="F33" i="12" s="1"/>
  <c r="P33" i="12" s="1"/>
  <c r="M33" i="12"/>
  <c r="D33" i="12"/>
  <c r="B33" i="12"/>
  <c r="P32" i="12"/>
  <c r="C32" i="12"/>
  <c r="N32" i="12" s="1"/>
  <c r="M32" i="12"/>
  <c r="E32" i="12"/>
  <c r="D32" i="12"/>
  <c r="B32" i="12"/>
  <c r="C31" i="12"/>
  <c r="F31" i="12" s="1"/>
  <c r="P31" i="12" s="1"/>
  <c r="N31" i="12"/>
  <c r="M31" i="12"/>
  <c r="D31" i="12"/>
  <c r="B31" i="12"/>
  <c r="C30" i="12"/>
  <c r="F30" i="12" s="1"/>
  <c r="M30" i="12"/>
  <c r="D30" i="12"/>
  <c r="B30" i="12"/>
  <c r="C29" i="12"/>
  <c r="N29" i="12" s="1"/>
  <c r="M29" i="12"/>
  <c r="D29" i="12"/>
  <c r="B29" i="12"/>
  <c r="C28" i="12"/>
  <c r="F28" i="12" s="1"/>
  <c r="M28" i="12"/>
  <c r="D28" i="12"/>
  <c r="B28" i="12"/>
  <c r="C27" i="12"/>
  <c r="F27" i="12" s="1"/>
  <c r="M27" i="12"/>
  <c r="D27" i="12"/>
  <c r="B27" i="12"/>
  <c r="C26" i="12"/>
  <c r="F26" i="12" s="1"/>
  <c r="P26" i="12" s="1"/>
  <c r="M26" i="12"/>
  <c r="D26" i="12"/>
  <c r="B26" i="12"/>
  <c r="C25" i="12"/>
  <c r="F25" i="12" s="1"/>
  <c r="M25" i="12"/>
  <c r="D25" i="12"/>
  <c r="B25" i="12"/>
  <c r="C24" i="12"/>
  <c r="F24" i="12"/>
  <c r="P24" i="12" s="1"/>
  <c r="N24" i="12"/>
  <c r="M24" i="12"/>
  <c r="D24" i="12"/>
  <c r="B24" i="12"/>
  <c r="C23" i="12"/>
  <c r="F23" i="12" s="1"/>
  <c r="P23" i="12" s="1"/>
  <c r="M23" i="12"/>
  <c r="D23" i="12"/>
  <c r="B23" i="12"/>
  <c r="C22" i="12"/>
  <c r="F22" i="12" s="1"/>
  <c r="M22" i="12"/>
  <c r="D22" i="12"/>
  <c r="B22" i="12"/>
  <c r="C21" i="12"/>
  <c r="F21" i="12" s="1"/>
  <c r="N21" i="12"/>
  <c r="M21" i="12"/>
  <c r="D21" i="12"/>
  <c r="B21" i="12"/>
  <c r="C20" i="12"/>
  <c r="F20" i="12" s="1"/>
  <c r="P20" i="12" s="1"/>
  <c r="M20" i="12"/>
  <c r="D20" i="12"/>
  <c r="B20" i="12"/>
  <c r="C19" i="12"/>
  <c r="F19" i="12" s="1"/>
  <c r="P19" i="12" s="1"/>
  <c r="M19" i="12"/>
  <c r="D19" i="12"/>
  <c r="B19" i="12"/>
  <c r="C18" i="12"/>
  <c r="F18" i="12" s="1"/>
  <c r="M18" i="12"/>
  <c r="D18" i="12"/>
  <c r="B18" i="12"/>
  <c r="C17" i="12"/>
  <c r="N17" i="12" s="1"/>
  <c r="M17" i="12"/>
  <c r="D17" i="12"/>
  <c r="B17" i="12"/>
  <c r="C16" i="12"/>
  <c r="F16" i="12" s="1"/>
  <c r="M16" i="12"/>
  <c r="D16" i="12"/>
  <c r="B16" i="12"/>
  <c r="C15" i="12"/>
  <c r="F15" i="12" s="1"/>
  <c r="M15" i="12"/>
  <c r="D15" i="12"/>
  <c r="B15" i="12"/>
  <c r="P14" i="12"/>
  <c r="C14" i="12"/>
  <c r="N14" i="12" s="1"/>
  <c r="M14" i="12"/>
  <c r="F14" i="12"/>
  <c r="E14" i="12"/>
  <c r="D14" i="12"/>
  <c r="B14" i="12"/>
  <c r="P13" i="12"/>
  <c r="C13" i="12"/>
  <c r="F13" i="12" s="1"/>
  <c r="M13" i="12"/>
  <c r="E13" i="12"/>
  <c r="D13" i="12"/>
  <c r="B13" i="12"/>
  <c r="C12" i="12"/>
  <c r="F12" i="12" s="1"/>
  <c r="M12" i="12"/>
  <c r="D12" i="12"/>
  <c r="B12" i="12"/>
  <c r="C11" i="12"/>
  <c r="F11" i="12" s="1"/>
  <c r="N11" i="12"/>
  <c r="M11" i="12"/>
  <c r="D11" i="12"/>
  <c r="B11" i="12"/>
  <c r="C10" i="12"/>
  <c r="F10" i="12" s="1"/>
  <c r="P10" i="12" s="1"/>
  <c r="M10" i="12"/>
  <c r="D10" i="12"/>
  <c r="B10" i="12"/>
  <c r="C9" i="12"/>
  <c r="F9" i="12" s="1"/>
  <c r="P9" i="12" s="1"/>
  <c r="M9" i="12"/>
  <c r="D9" i="12"/>
  <c r="B9" i="12"/>
  <c r="C8" i="12"/>
  <c r="F8" i="12" s="1"/>
  <c r="M8" i="12"/>
  <c r="D8" i="12"/>
  <c r="B8" i="12"/>
  <c r="C7" i="12"/>
  <c r="N7" i="12" s="1"/>
  <c r="F7" i="12"/>
  <c r="P7" i="12" s="1"/>
  <c r="M7" i="12"/>
  <c r="D7" i="12"/>
  <c r="B7" i="12"/>
  <c r="C6" i="12"/>
  <c r="F6" i="12" s="1"/>
  <c r="M6" i="12"/>
  <c r="D6" i="12"/>
  <c r="B6" i="12"/>
  <c r="C5" i="12"/>
  <c r="M5" i="12"/>
  <c r="D5" i="12"/>
  <c r="B5" i="12"/>
  <c r="C14" i="10"/>
  <c r="D61" i="2"/>
  <c r="D62" i="2"/>
  <c r="D63" i="2"/>
  <c r="D64" i="2"/>
  <c r="D65" i="2"/>
  <c r="C61" i="2"/>
  <c r="C62" i="2"/>
  <c r="C63" i="2"/>
  <c r="C64" i="2"/>
  <c r="C65" i="2"/>
  <c r="B61" i="2"/>
  <c r="B62" i="2"/>
  <c r="B63" i="2"/>
  <c r="B64" i="2"/>
  <c r="B65" i="2"/>
  <c r="A57" i="2"/>
  <c r="B57" i="2"/>
  <c r="G57" i="2"/>
  <c r="F57" i="2"/>
  <c r="E57" i="2"/>
  <c r="D57" i="2"/>
  <c r="C57" i="2"/>
  <c r="A56" i="2"/>
  <c r="B56" i="2"/>
  <c r="G56" i="2"/>
  <c r="F56" i="2"/>
  <c r="E56" i="2"/>
  <c r="D56" i="2"/>
  <c r="C56" i="2"/>
  <c r="A55" i="2"/>
  <c r="B55" i="2"/>
  <c r="G55" i="2"/>
  <c r="F55" i="2"/>
  <c r="E55" i="2"/>
  <c r="D55" i="2"/>
  <c r="C55" i="2"/>
  <c r="A54" i="2"/>
  <c r="B54" i="2"/>
  <c r="G54" i="2"/>
  <c r="F54" i="2"/>
  <c r="E54" i="2"/>
  <c r="D54" i="2"/>
  <c r="C54" i="2"/>
  <c r="B41" i="2"/>
  <c r="B42" i="2"/>
  <c r="C41" i="2"/>
  <c r="C42" i="2"/>
  <c r="D41" i="2"/>
  <c r="D42" i="2"/>
  <c r="E41" i="2"/>
  <c r="E42" i="2"/>
  <c r="F42" i="2"/>
  <c r="B43" i="2"/>
  <c r="C43" i="2"/>
  <c r="D43" i="2"/>
  <c r="E43" i="2"/>
  <c r="F43" i="2"/>
  <c r="B44" i="2"/>
  <c r="C44" i="2"/>
  <c r="D44" i="2"/>
  <c r="E44" i="2"/>
  <c r="F44" i="2"/>
  <c r="B45" i="2"/>
  <c r="C45" i="2"/>
  <c r="D45" i="2"/>
  <c r="E45" i="2"/>
  <c r="F45" i="2"/>
  <c r="B46" i="2"/>
  <c r="C46" i="2"/>
  <c r="D46" i="2"/>
  <c r="E46" i="2"/>
  <c r="F46" i="2"/>
  <c r="B47" i="2"/>
  <c r="C47" i="2"/>
  <c r="D47" i="2"/>
  <c r="E47" i="2"/>
  <c r="F47" i="2"/>
  <c r="B48" i="2"/>
  <c r="C48" i="2"/>
  <c r="D48" i="2"/>
  <c r="E48" i="2"/>
  <c r="F48" i="2"/>
  <c r="B49" i="2"/>
  <c r="C49" i="2"/>
  <c r="D49" i="2"/>
  <c r="E49" i="2"/>
  <c r="F49" i="2"/>
  <c r="F50" i="2"/>
  <c r="E50" i="2"/>
  <c r="D50" i="2"/>
  <c r="C50" i="2"/>
  <c r="B50" i="2"/>
  <c r="E38" i="2"/>
  <c r="D38" i="2"/>
  <c r="A38" i="2"/>
  <c r="B38" i="2"/>
  <c r="C38" i="2"/>
  <c r="E37" i="2"/>
  <c r="D37" i="2"/>
  <c r="A37" i="2"/>
  <c r="B37" i="2"/>
  <c r="C37" i="2"/>
  <c r="E36" i="2"/>
  <c r="D36" i="2"/>
  <c r="A36" i="2"/>
  <c r="B36" i="2"/>
  <c r="C36" i="2"/>
  <c r="E35" i="2"/>
  <c r="D35" i="2"/>
  <c r="A35" i="2"/>
  <c r="B35" i="2"/>
  <c r="C35" i="2"/>
  <c r="A23" i="2"/>
  <c r="D23" i="2"/>
  <c r="A24" i="2"/>
  <c r="D24" i="2"/>
  <c r="A25" i="2"/>
  <c r="D25" i="2"/>
  <c r="A26" i="2"/>
  <c r="D26" i="2"/>
  <c r="A27" i="2"/>
  <c r="D27" i="2"/>
  <c r="A28" i="2"/>
  <c r="D28" i="2"/>
  <c r="A29" i="2"/>
  <c r="D29" i="2"/>
  <c r="A30" i="2"/>
  <c r="D30" i="2"/>
  <c r="D31" i="2"/>
  <c r="C23" i="2"/>
  <c r="C24" i="2"/>
  <c r="C25" i="2"/>
  <c r="C26" i="2"/>
  <c r="C27" i="2"/>
  <c r="C28" i="2"/>
  <c r="C29" i="2"/>
  <c r="C30" i="2"/>
  <c r="C31" i="2"/>
  <c r="E30" i="2"/>
  <c r="E29" i="2"/>
  <c r="E28" i="2"/>
  <c r="E27" i="2"/>
  <c r="E26" i="2"/>
  <c r="E25" i="2"/>
  <c r="E24" i="2"/>
  <c r="E23" i="2"/>
  <c r="B19" i="2"/>
  <c r="B18" i="2"/>
  <c r="B16" i="2"/>
  <c r="B15" i="2"/>
  <c r="B13" i="2"/>
  <c r="B12" i="2"/>
  <c r="B11" i="2"/>
  <c r="B9" i="2"/>
  <c r="B8" i="2"/>
  <c r="B7" i="2"/>
  <c r="B6" i="2"/>
  <c r="B5" i="2"/>
  <c r="A2" i="2"/>
  <c r="N13" i="12" l="1"/>
  <c r="N23" i="12"/>
  <c r="N9" i="12"/>
  <c r="P25" i="12"/>
  <c r="N19" i="12"/>
  <c r="N26" i="12"/>
  <c r="F29" i="12"/>
  <c r="P29" i="12" s="1"/>
  <c r="F34" i="12"/>
  <c r="P34" i="12" s="1"/>
  <c r="B30" i="2"/>
  <c r="F17" i="12"/>
  <c r="P17" i="12" s="1"/>
  <c r="B29" i="2"/>
  <c r="B28" i="2"/>
  <c r="N6" i="12"/>
  <c r="P11" i="12"/>
  <c r="N16" i="12"/>
  <c r="P21" i="12"/>
  <c r="N28" i="12"/>
  <c r="N33" i="12"/>
  <c r="B27" i="2"/>
  <c r="P6" i="12"/>
  <c r="P16" i="12"/>
  <c r="P28" i="12"/>
  <c r="B26" i="2"/>
  <c r="N8" i="12"/>
  <c r="N18" i="12"/>
  <c r="N30" i="12"/>
  <c r="N25" i="12"/>
  <c r="P30" i="12"/>
  <c r="F32" i="12"/>
  <c r="B25" i="2"/>
  <c r="P8" i="12"/>
  <c r="P18" i="12"/>
  <c r="B24" i="2"/>
  <c r="N10" i="12"/>
  <c r="N20" i="12"/>
  <c r="B23" i="2"/>
  <c r="N5" i="12"/>
  <c r="N15" i="12"/>
  <c r="N27" i="12"/>
  <c r="N12" i="12"/>
  <c r="P15" i="12"/>
  <c r="N22" i="12"/>
  <c r="P27" i="12"/>
  <c r="F5" i="12"/>
  <c r="P5" i="12" s="1"/>
  <c r="B14" i="2" s="1"/>
  <c r="P12" i="12"/>
  <c r="P22" i="12"/>
  <c r="J61" i="14"/>
  <c r="K35" i="14"/>
  <c r="M35" i="14" s="1"/>
  <c r="O35" i="14" s="1"/>
  <c r="K5" i="14"/>
  <c r="M5" i="14" s="1"/>
  <c r="O5" i="14" s="1"/>
  <c r="K47" i="14"/>
  <c r="M47" i="14" s="1"/>
  <c r="O47" i="14" s="1"/>
  <c r="K51" i="14"/>
  <c r="M51" i="14" s="1"/>
  <c r="O51" i="14" s="1"/>
  <c r="K55" i="14"/>
  <c r="M55" i="14" s="1"/>
  <c r="J46" i="14"/>
  <c r="K31" i="14"/>
  <c r="M31" i="14" s="1"/>
  <c r="O31" i="14" s="1"/>
  <c r="K43" i="14"/>
  <c r="M43" i="14" s="1"/>
  <c r="J24" i="14"/>
  <c r="K39" i="14"/>
  <c r="M39" i="14" s="1"/>
  <c r="O39" i="14" s="1"/>
  <c r="K9" i="14"/>
  <c r="M9" i="14" s="1"/>
  <c r="O9" i="14" s="1"/>
  <c r="K13" i="14"/>
  <c r="M13" i="14" s="1"/>
  <c r="O13" i="14" s="1"/>
  <c r="K17" i="14"/>
  <c r="M17" i="14" s="1"/>
  <c r="O17" i="14" s="1"/>
  <c r="K21" i="14"/>
  <c r="M21" i="14" s="1"/>
  <c r="K59" i="14"/>
  <c r="M59" i="14" s="1"/>
  <c r="O59" i="14" s="1"/>
  <c r="J6" i="14"/>
  <c r="J10" i="14"/>
  <c r="J28" i="14"/>
  <c r="J32" i="14"/>
  <c r="J34" i="14"/>
  <c r="J38" i="14"/>
  <c r="J42" i="14"/>
  <c r="J44" i="14"/>
  <c r="J48" i="14"/>
  <c r="J50" i="14"/>
  <c r="J52" i="14"/>
  <c r="J54" i="14"/>
  <c r="J56" i="14"/>
  <c r="J58" i="14"/>
  <c r="J60" i="14"/>
  <c r="K20" i="14"/>
  <c r="M20" i="14" s="1"/>
  <c r="K28" i="14"/>
  <c r="M28" i="14" s="1"/>
  <c r="K46" i="14"/>
  <c r="M46" i="14" s="1"/>
  <c r="K52" i="14"/>
  <c r="M52" i="14" s="1"/>
  <c r="K10" i="14"/>
  <c r="M10" i="14" s="1"/>
  <c r="O10" i="14" s="1"/>
  <c r="K14" i="14"/>
  <c r="M14" i="14" s="1"/>
  <c r="O14" i="14" s="1"/>
  <c r="K24" i="14"/>
  <c r="M24" i="14" s="1"/>
  <c r="O24" i="14" s="1"/>
  <c r="K60" i="14"/>
  <c r="M60" i="14" s="1"/>
  <c r="O60" i="14" s="1"/>
  <c r="J8" i="14"/>
  <c r="J12" i="14"/>
  <c r="J14" i="14"/>
  <c r="J16" i="14"/>
  <c r="J18" i="14"/>
  <c r="J20" i="14"/>
  <c r="J22" i="14"/>
  <c r="J26" i="14"/>
  <c r="J30" i="14"/>
  <c r="J36" i="14"/>
  <c r="J40" i="14"/>
  <c r="K6" i="14"/>
  <c r="M6" i="14" s="1"/>
  <c r="K32" i="14"/>
  <c r="M32" i="14" s="1"/>
  <c r="K8" i="14"/>
  <c r="M8" i="14" s="1"/>
  <c r="O8" i="14" s="1"/>
  <c r="K12" i="14"/>
  <c r="M12" i="14" s="1"/>
  <c r="O12" i="14" s="1"/>
  <c r="K16" i="14"/>
  <c r="M16" i="14" s="1"/>
  <c r="O16" i="14" s="1"/>
  <c r="K18" i="14"/>
  <c r="M18" i="14" s="1"/>
  <c r="O18" i="14" s="1"/>
  <c r="K22" i="14"/>
  <c r="M22" i="14" s="1"/>
  <c r="O22" i="14" s="1"/>
  <c r="K26" i="14"/>
  <c r="M26" i="14" s="1"/>
  <c r="O26" i="14" s="1"/>
  <c r="K30" i="14"/>
  <c r="M30" i="14" s="1"/>
  <c r="O30" i="14" s="1"/>
  <c r="K34" i="14"/>
  <c r="M34" i="14" s="1"/>
  <c r="O34" i="14" s="1"/>
  <c r="K36" i="14"/>
  <c r="M36" i="14" s="1"/>
  <c r="O36" i="14" s="1"/>
  <c r="K38" i="14"/>
  <c r="M38" i="14" s="1"/>
  <c r="O38" i="14" s="1"/>
  <c r="K40" i="14"/>
  <c r="M40" i="14" s="1"/>
  <c r="O40" i="14" s="1"/>
  <c r="K42" i="14"/>
  <c r="M42" i="14" s="1"/>
  <c r="O42" i="14" s="1"/>
  <c r="K44" i="14"/>
  <c r="M44" i="14" s="1"/>
  <c r="O44" i="14" s="1"/>
  <c r="K48" i="14"/>
  <c r="M48" i="14" s="1"/>
  <c r="O48" i="14" s="1"/>
  <c r="K50" i="14"/>
  <c r="M50" i="14" s="1"/>
  <c r="O50" i="14" s="1"/>
  <c r="K54" i="14"/>
  <c r="M54" i="14" s="1"/>
  <c r="O54" i="14" s="1"/>
  <c r="K56" i="14"/>
  <c r="M56" i="14" s="1"/>
  <c r="O56" i="14" s="1"/>
  <c r="K58" i="14"/>
  <c r="M58" i="14" s="1"/>
  <c r="O58" i="14" s="1"/>
  <c r="J5" i="14"/>
  <c r="J7" i="14"/>
  <c r="J9" i="14"/>
  <c r="J11" i="14"/>
  <c r="J13" i="14"/>
  <c r="J15" i="14"/>
  <c r="J17" i="14"/>
  <c r="J19" i="14"/>
  <c r="J21" i="14"/>
  <c r="J23" i="14"/>
  <c r="J25" i="14"/>
  <c r="J27" i="14"/>
  <c r="J29" i="14"/>
  <c r="J31" i="14"/>
  <c r="J33" i="14"/>
  <c r="J35" i="14"/>
  <c r="J37" i="14"/>
  <c r="J39" i="14"/>
  <c r="J41" i="14"/>
  <c r="J43" i="14"/>
  <c r="J45" i="14"/>
  <c r="J47" i="14"/>
  <c r="J49" i="14"/>
  <c r="J51" i="14"/>
  <c r="J53" i="14"/>
  <c r="J55" i="14"/>
  <c r="J57" i="14"/>
  <c r="J59" i="14"/>
  <c r="B10" i="2" l="1"/>
  <c r="B31" i="2"/>
  <c r="B17" i="2"/>
</calcChain>
</file>

<file path=xl/sharedStrings.xml><?xml version="1.0" encoding="utf-8"?>
<sst xmlns="http://schemas.openxmlformats.org/spreadsheetml/2006/main" count="4411" uniqueCount="1810">
  <si>
    <t>Agentic AI Risk Tiering Prototype – MVP Blueprint &amp; Synthetic Data Pack</t>
  </si>
  <si>
    <t>Aligned to: EU AI Act (Reg. (EU) 2024/1689, as amended by the Digital Omnibus on AI, Reg. (EU) 2026/1744) · NIST AI RMF 1.0 (+ AI 600-1 GenAI Profile) · ISO/IEC 42001:2023</t>
  </si>
  <si>
    <t>Sheet guide</t>
  </si>
  <si>
    <t>Dashboard – live KPIs computed from the synthetic data (tier mix, agent vs SME agreement, gaps, remediation, monitoring, backlog effort)</t>
  </si>
  <si>
    <t>MVP_Roadmap – 4 MVPs: objective, scope, agents, acceptance criteria, KPIs, HITL design, risks, exit criteria</t>
  </si>
  <si>
    <t>MVP_Backlog – 39 user stories with priority, effort points, acceptance criteria, agent and framework reference</t>
  </si>
  <si>
    <t>Agent_Catalog – 13 agents: purpose, inputs/outputs, tools, autonomy, human checkpoints, guardrails, eval metrics</t>
  </si>
  <si>
    <t>Tiering_Rules – ordered decision logic (R1–R12) and Annex III domain guide used by the rules engine + LLM agents</t>
  </si>
  <si>
    <t>Tier_Obligations – internal tier definitions, SLAs, review depth, and EU tier obligations / application dates</t>
  </si>
  <si>
    <t>Framework_Map – 24-requirement crosswalk: EU AI Act ↔ NIST AI RMF ↔ ISO/IEC 42001, with tier applicability and evidence</t>
  </si>
  <si>
    <t>Config – editable parameters (as-of date, weights, thresholds, tier tables) that drive formulas</t>
  </si>
  <si>
    <t>Syn_AI_Inventory – 30 synthetic AI systems (fictional 'Northwind Financial Group') with intake flags  [feeds Intake/Discovery agents]</t>
  </si>
  <si>
    <t>Syn_Tiering – formula-driven rules-engine tier + synthetic agent suggestion, confidence, SME decision, agreement  [Tiering/Review agents]</t>
  </si>
  <si>
    <t>Syn_Gap_Assessment – synthetic requirement-level status per system, with lookups to the crosswalk  [Mapping/Evidence/Gap agents]</t>
  </si>
  <si>
    <t>Syn_Remediation – synthetic action plan; priority, SLA and due dates computed from tier  [Remediation agent]</t>
  </si>
  <si>
    <t>Syn_Monitoring – synthetic post-deployment events; re-tiering and Art.73 triggers computed  [Monitoring/Incident agents]</t>
  </si>
  <si>
    <t>Syn_Agent_Run_Log – synthetic agent audit trail (versions, confidence, guardrail flags, human decisions)  [Orchestrator/Governance]</t>
  </si>
  <si>
    <t>Legend</t>
  </si>
  <si>
    <t>Blue text = hardcoded inputs / synthetic data. Black = formulas. Yellow fill = editable assumptions in Config.</t>
  </si>
  <si>
    <t>Important notes &amp; assumptions</t>
  </si>
  <si>
    <t>• ALL data in Syn_* sheets is fictional and randomly generated (seed 42) for prototyping and testing. It contains no real organisations, people or incidents.</t>
  </si>
  <si>
    <t>• This workbook is a design aid, not legal advice. Article references, tier logic and the crosswalk are illustrative and must be validated by Legal/Compliance before production use.</t>
  </si>
  <si>
    <t>• Regulatory status reflects the Digital Omnibus on AI (Reg. (EU) 2026/1744; in force 27 Jul 2026): Annex III high-risk obligations now apply from 2 Dec 2027, Annex I from 2 Aug 2028; Art.50 transparency from 2 Aug 2026 (Art.50(2) legacy marking 2 Dec 2026). Verify against the Official Journal – details may evolve.</t>
  </si>
  <si>
    <t>• The internal contextual score (weights, thresholds) and SLA days are illustrative assumptions – calibrate to your risk appetite in Config / Tier_Obligations.</t>
  </si>
  <si>
    <t>• Syn_Tiering deliberately includes disagreements (rules vs agent vs SME) to demonstrate why human-in-the-loop review and LLM reasoning add value.</t>
  </si>
  <si>
    <t>• Tiering is an assessment aid; final classification accountability stays with named humans (AI Governance + Legal).</t>
  </si>
  <si>
    <t>AI Risk Tiering Prototype – Dashboard (synthetic data)</t>
  </si>
  <si>
    <t>Headline KPI</t>
  </si>
  <si>
    <t>Value</t>
  </si>
  <si>
    <t>Definition</t>
  </si>
  <si>
    <t>Total AI systems in inventory</t>
  </si>
  <si>
    <t>Rows in Syn_AI_Inventory</t>
  </si>
  <si>
    <t>Average intake completeness</t>
  </si>
  <si>
    <t>MVP-1 KPI (target ≥95%)</t>
  </si>
  <si>
    <t>Systems validated as Prohibited (T0)</t>
  </si>
  <si>
    <t>SME-validated EU tier</t>
  </si>
  <si>
    <t>Systems validated as High-Risk (Annex I + III)</t>
  </si>
  <si>
    <t>Wildcard on 'High-Risk*'</t>
  </si>
  <si>
    <t>Agent–SME agreement</t>
  </si>
  <si>
    <t>MVP-2 target ≥90%</t>
  </si>
  <si>
    <t>Rules-engine–SME agreement</t>
  </si>
  <si>
    <t>Rules alone miss hidden indicators</t>
  </si>
  <si>
    <t>Prohibited recall – rules engine only</t>
  </si>
  <si>
    <t>Share of SME-confirmed prohibited caught</t>
  </si>
  <si>
    <t>Prohibited recall – agent (LLM + rules)</t>
  </si>
  <si>
    <t>MVP-2 target 100%</t>
  </si>
  <si>
    <t>Average agent confidence</t>
  </si>
  <si>
    <t>Synthetic</t>
  </si>
  <si>
    <t>Fast-track review share</t>
  </si>
  <si>
    <t>Agent = rules, confidence ≥ threshold, not T1</t>
  </si>
  <si>
    <t>Average compliance score (gap assessment)</t>
  </si>
  <si>
    <t>Implemented = 1, Partial = Config weight, else 0</t>
  </si>
  <si>
    <t>Open remediation actions</t>
  </si>
  <si>
    <t>Status ≠ Closed</t>
  </si>
  <si>
    <t>Overdue remediation actions</t>
  </si>
  <si>
    <t>Due date before as-of date</t>
  </si>
  <si>
    <t>Re-tier triggers from monitoring</t>
  </si>
  <si>
    <t>Material change or High/Critical severity</t>
  </si>
  <si>
    <t>Potential serious incidents (Art.73)</t>
  </si>
  <si>
    <t>T0/T1 systems with critical events</t>
  </si>
  <si>
    <t>1. EU AI Act tier distribution</t>
  </si>
  <si>
    <t>EU AI Act Tier</t>
  </si>
  <si>
    <t>Rules Engine</t>
  </si>
  <si>
    <t>Agent Suggested</t>
  </si>
  <si>
    <t>SME Validated</t>
  </si>
  <si>
    <t>% of Inventory (validated)</t>
  </si>
  <si>
    <t>Total</t>
  </si>
  <si>
    <t>Internal Tier</t>
  </si>
  <si>
    <t># Systems</t>
  </si>
  <si>
    <t>% of Inventory</t>
  </si>
  <si>
    <t>Remediation SLA (days)</t>
  </si>
  <si>
    <t>Priority</t>
  </si>
  <si>
    <t>3. Business unit × internal tier</t>
  </si>
  <si>
    <t>Business Unit</t>
  </si>
  <si>
    <t>Retail Banking</t>
  </si>
  <si>
    <t>Insurance</t>
  </si>
  <si>
    <t>Human Resources</t>
  </si>
  <si>
    <t>Corporate &amp; Markets</t>
  </si>
  <si>
    <t>Risk &amp; Compliance</t>
  </si>
  <si>
    <t>Marketing &amp; Digital</t>
  </si>
  <si>
    <t>Operations</t>
  </si>
  <si>
    <t>Technology</t>
  </si>
  <si>
    <t>4. Gap assessment status by internal tier</t>
  </si>
  <si>
    <t># Assessments</t>
  </si>
  <si>
    <t>Implemented</t>
  </si>
  <si>
    <t>Partially Implemented</t>
  </si>
  <si>
    <t>Not Implemented</t>
  </si>
  <si>
    <t>Not Assessed</t>
  </si>
  <si>
    <t>Compliance Score</t>
  </si>
  <si>
    <t>5. Backlog effort by MVP</t>
  </si>
  <si>
    <t>MVP</t>
  </si>
  <si>
    <t># Stories</t>
  </si>
  <si>
    <t>Effort (pts)</t>
  </si>
  <si>
    <t># Must-have</t>
  </si>
  <si>
    <t>Indicative Duration</t>
  </si>
  <si>
    <t>MVP-1</t>
  </si>
  <si>
    <t>4–6 weeks</t>
  </si>
  <si>
    <t>MVP-2</t>
  </si>
  <si>
    <t>6–8 weeks</t>
  </si>
  <si>
    <t>MVP-3</t>
  </si>
  <si>
    <t>8–10 weeks</t>
  </si>
  <si>
    <t>MVP-4</t>
  </si>
  <si>
    <t>MVP Roadmap – Agentic AI Risk Tiering Prototype</t>
  </si>
  <si>
    <t>Four incremental MVPs; each delivers standalone value and de-risks the next.</t>
  </si>
  <si>
    <t>Attribute</t>
  </si>
  <si>
    <t>MVP-1: Inventory &amp; Intake</t>
  </si>
  <si>
    <t>MVP-2: EU AI Act Risk Tiering</t>
  </si>
  <si>
    <t>MVP-3: Framework Crosswalk &amp; Gap Assessment</t>
  </si>
  <si>
    <t>MVP-4: Remediation, Monitoring &amp; Reporting</t>
  </si>
  <si>
    <t>Objective</t>
  </si>
  <si>
    <t>Automatically classify every inventoried system into an EU AI Act category and an internal risk tier, with explainable reasoning and human validation.</t>
  </si>
  <si>
    <t>Map each tier to obligations across EU AI Act, NIST AI RMF and ISO/IEC 42001; collect evidence and assess control gaps per system.</t>
  </si>
  <si>
    <t>Close the loop: remediation planning, continuous monitoring, re-tiering triggers, incident triage and governance reporting.</t>
  </si>
  <si>
    <t>Business problem solved</t>
  </si>
  <si>
    <t>Shadow AI, spreadsheet inventories, inconsistent owner-provided data; no single source of truth.</t>
  </si>
  <si>
    <t>Manual, slow and inconsistent risk classification; prohibited/high-risk uses discovered late.</t>
  </si>
  <si>
    <t>Fragmented compliance effort across three frameworks; duplicated evidence requests; unclear priorities.</t>
  </si>
  <si>
    <t>Findings without follow-through; tier goes stale after model/vendor/use-case changes; slow board reporting.</t>
  </si>
  <si>
    <t>In scope</t>
  </si>
  <si>
    <t>Discovery of AI systems (procurement, cloud, SaaS, code repos); conversational intake; canonical record schema; completeness scoring; owner/role assignment (provider vs deployer); audit log.</t>
  </si>
  <si>
    <t>Rules engine (R1–R10); LLM reasoning over free-text; RAG over AI Act; reconcile rules vs LLM; confidence-based review routing; reviewer workbench; contextual score overlay; prohibited-practice stop; golden test set.</t>
  </si>
  <si>
    <t>Versioned crosswalk (24 requirements); tier→obligation applicability; evidence collection from GRC/MLOps/doc stores; gap status + compliance score; NIST profile and ISO SoA draft; GPAI checklist.</t>
  </si>
  <si>
    <t>Remediation plans with SLA by tier; action tracker; monitoring ingest; re-tiering triggers; Art.73 incident triage; regulatory watch; dashboards &amp; board pack; agent performance monitoring.</t>
  </si>
  <si>
    <t>Out of scope</t>
  </si>
  <si>
    <t>Tiering decisions; control assessment; automated blocking of systems.</t>
  </si>
  <si>
    <t>Full conformity assessment; technical model testing (bias/robustness execution); other jurisdictions.</t>
  </si>
  <si>
    <t>Automated remediation execution; certification audit; vendor due-diligence workflows.</t>
  </si>
  <si>
    <t>Multi-jurisdiction extension (e.g., US state laws); automated regulator submissions; model-level red-teaming.</t>
  </si>
  <si>
    <t>Agents involved</t>
  </si>
  <si>
    <t>A0 Orchestrator, A1 Discovery, A2 Intake &amp; Enrichment</t>
  </si>
  <si>
    <t>A0 Orchestrator, A3 Regulatory Knowledge (RAG), A4 Risk Tiering, A5 Tier Review &amp; Challenge</t>
  </si>
  <si>
    <t>A6 Framework Mapping, A7 Evidence Collection, A8 Gap Assessment</t>
  </si>
  <si>
    <t>A9 Remediation Planning, A10 Monitoring &amp; Re-tiering, A11 Incident Triage, A12 Governance Reporting</t>
  </si>
  <si>
    <t>Key inputs / data</t>
  </si>
  <si>
    <t>Procurement &amp; cloud-spend exports, SaaS/SSO logs, code-repo scan, model cards, owner questionnaires.</t>
  </si>
  <si>
    <t>Inventory records (Syn_AI_Inventory), AI Act text &amp; guidelines, Tiering_Rules, labelled golden set.</t>
  </si>
  <si>
    <t>Framework_Map, policies, model documentation, test reports, DPIAs, vendor contracts, MLOps registry.</t>
  </si>
  <si>
    <t>Gap results, action log, monitoring telemetry, incident tickets, regulatory feeds, approver matrix.</t>
  </si>
  <si>
    <t>Key outputs</t>
  </si>
  <si>
    <t>AI inventory with completeness score; shadow-AI findings; owner assignments.</t>
  </si>
  <si>
    <t>EU tier + internal tier + rationale + confidence + citations; reviewed decisions; prohibited-practice alerts.</t>
  </si>
  <si>
    <t>Applicable requirement set per system; evidence links; gap status; compliance score; NIST/ISO artefacts.</t>
  </si>
  <si>
    <t>Remediation plan; monitoring alerts; re-tier decisions; incident triage record; board/committee packs.</t>
  </si>
  <si>
    <t>Framework alignment</t>
  </si>
  <si>
    <t>EU: Art.6/49 (classification, registration prep), Art.4. NIST: GOVERN 1.6 (inventory). ISO 42001: 4.3, A.4.2.</t>
  </si>
  <si>
    <t>EU: Art.5, 6, Annex I/III, Art.50, 51–52. NIST: MAP 1.1, MAP 1.5, MAP 5.1. ISO 42001: 6.1.2, 6.1.4, A.5.2.</t>
  </si>
  <si>
    <t>EU: Art.9–15, 17, 26, 27, 53, 55. NIST: GOVERN/MAP/MEASURE subcategories per Framework_Map. ISO 42001: 8.x, Annex A.</t>
  </si>
  <si>
    <t>EU: Art.72, 73. NIST: MANAGE 1–4. ISO 42001: 9.1–9.3, 10.1–10.2, A.6.2.6, A.8.4.</t>
  </si>
  <si>
    <t>Acceptance criteria</t>
  </si>
  <si>
    <t>≥90% of seeded shadow-AI test systems detected; ≥95% of mandatory intake fields complete for in-scope systems; every record versioned and attributable to an owner.</t>
  </si>
  <si>
    <t>Agent–SME agreement ≥90% on golden set; 100% of prohibited cases escalated (no misses); every decision carries article citations; reviewer override captured with reason.</t>
  </si>
  <si>
    <t>≥85% requirement-level status matches SME judgement on sample; each evidence link traceable; crosswalk versioned with change history.</t>
  </si>
  <si>
    <t>≥95% material change events trigger re-tier review within SLA; remediation plans accepted with ≤30% edits; reports reconcile 100% to source data.</t>
  </si>
  <si>
    <t>Success KPIs (targets)</t>
  </si>
  <si>
    <t>Inventory coverage ≥90% of known AI; intake completeness ≥95%; time-to-register ≤5 days.</t>
  </si>
  <si>
    <t>Tiering cycle time ≤2 days (fast-track ≤1 day); override rate ≤15%; prohibited-practice recall 100%.</t>
  </si>
  <si>
    <t>Requirements auto-assessed ≥70%; evidence request duplication -50%; compliance score visible for 100% T0–T2.</t>
  </si>
  <si>
    <t>Overdue actions ≤10%; MTTR for re-tier ≤5 days; board pack prep time -70%.</t>
  </si>
  <si>
    <t>Human-in-the-loop design</t>
  </si>
  <si>
    <t>System owner confirms extracted answers; governance analyst approves new shadow-AI records.</t>
  </si>
  <si>
    <t>Single reviewer for fast-track (confidence ≥ threshold, agent = rules); two reviewers + Legal for T0/T1 or disagreement; T0 hard-stop needs Legal sign-off.</t>
  </si>
  <si>
    <t>Control owners attest evidence; 2nd line challenges 'Implemented' claims on T1 systems.</t>
  </si>
  <si>
    <t>Action owners approve plans; independent validator confirms closure; CRO/Committee approves risk acceptance.</t>
  </si>
  <si>
    <t>Technology components</t>
  </si>
  <si>
    <t>Agent framework/orchestrator; connectors (procurement, cloud billing, SSO, GitHub); vector store; relational DB with versioning; PII redaction.</t>
  </si>
  <si>
    <t>LLM with structured output (JSON schema); rules engine (Python/DMN); RAG index; evaluation harness; review UI; audit log.</t>
  </si>
  <si>
    <t>GRC/MLOps/doc-store connectors; crosswalk data store; document QA (LLM); scoring service.</t>
  </si>
  <si>
    <t>Workflow/ticketing integration; event bus for monitoring; BI dashboard; scheduler; regulatory feed reader.</t>
  </si>
  <si>
    <t>Team (indicative)</t>
  </si>
  <si>
    <t>PO 1, AI engineers 2, data engineer 1, AI governance SME 1, security 0.5</t>
  </si>
  <si>
    <t>PO 1, AI engineers 2, ML evaluator 1, Legal SME 0.5, governance SME 1, UX 0.5</t>
  </si>
  <si>
    <t>PO 1, AI engineers 2, data engineer 1, compliance SME 1, GRC admin 0.5</t>
  </si>
  <si>
    <t>PO 1, AI engineers 2, data engineer 1, BI dev 1, risk SME 1, PMO 0.5</t>
  </si>
  <si>
    <t>Indicative duration</t>
  </si>
  <si>
    <t>Dependencies</t>
  </si>
  <si>
    <t>Access to procurement/cloud/SSO data; approved inventory schema.</t>
  </si>
  <si>
    <t>MVP-1 inventory; approved tiering methodology; legal review of rules.</t>
  </si>
  <si>
    <t>MVP-2 tiers; access to policy/evidence repositories.</t>
  </si>
  <si>
    <t>MVP-3 gaps; monitoring data feeds; approver matrix.</t>
  </si>
  <si>
    <t>Key risks &amp; mitigations</t>
  </si>
  <si>
    <t>Incomplete data sources → prioritise top-3 sources; owner fatigue → chat-based intake and nudges.</t>
  </si>
  <si>
    <t>LLM hallucinated citations → RAG-only citations with verification; over/under-classification → golden set + critic agent + human review.</t>
  </si>
  <si>
    <t>Evidence quality/format variety → evidence templates; over-trust in agent judgement → human attestation for T1.</t>
  </si>
  <si>
    <t>Alert fatigue → severity thresholds and dedup; regulatory change → regulatory watch + versioned rules.</t>
  </si>
  <si>
    <t>Exit criteria (go / no-go)</t>
  </si>
  <si>
    <t>Inventory ≥90% coverage; data quality gate passed; security/privacy review signed off.</t>
  </si>
  <si>
    <t>Golden-set thresholds met; Legal signs off rules v1.0; audit trail verified.</t>
  </si>
  <si>
    <t>Crosswalk approved by Compliance; pilot on 10 systems within tolerance vs SME.</t>
  </si>
  <si>
    <t>Pilot quarter completed; internal audit walkthrough passed; board pack accepted.</t>
  </si>
  <si>
    <t>Demo scenario</t>
  </si>
  <si>
    <t>Shadow-AI scan surfaces 'Store Camera Demographic Analytics (pilot)'; owner completes intake via chat.</t>
  </si>
  <si>
    <t>Video Interview Analyser: rules say High-Risk, agent flags Art.5 emotion recognition, Legal confirms Prohibited (see AI-028).</t>
  </si>
  <si>
    <t>Retail Credit Scoring Model: 20 requirements applied; gaps found in data governance and human oversight.</t>
  </si>
  <si>
    <t>Vendor update on Credit Limit Recommender triggers re-tier and creates P2 remediation actions.</t>
  </si>
  <si>
    <t>MVP Backlog – User Stories</t>
  </si>
  <si>
    <t>Effort points are relative estimates (Fibonacci-like). MoSCoW priority.</t>
  </si>
  <si>
    <t>Story ID</t>
  </si>
  <si>
    <t>Epic</t>
  </si>
  <si>
    <t>User Story</t>
  </si>
  <si>
    <t>Acceptance Criteria</t>
  </si>
  <si>
    <t>Agent</t>
  </si>
  <si>
    <t>Framework Reference</t>
  </si>
  <si>
    <t>US-101</t>
  </si>
  <si>
    <t>Discovery</t>
  </si>
  <si>
    <t>As an AI governance lead, I want the Discovery Agent to scan procurement, cloud spend, SaaS/SSO logs and code repos so that shadow AI is surfaced.</t>
  </si>
  <si>
    <t>Must</t>
  </si>
  <si>
    <t>≥90% of seeded shadow-AI systems detected; each finding links to source evidence</t>
  </si>
  <si>
    <t>A1 Discovery</t>
  </si>
  <si>
    <t>NIST GOVERN 1.6; ISO A.4.2</t>
  </si>
  <si>
    <t>US-102</t>
  </si>
  <si>
    <t>Inventory</t>
  </si>
  <si>
    <t>As a governance analyst, I want a canonical AI system record (27 fields incl. tiering flags) so that data is consistent.</t>
  </si>
  <si>
    <t>Schema approved; validation rules block invalid values</t>
  </si>
  <si>
    <t>A2 Intake</t>
  </si>
  <si>
    <t>EU Art.6; ISO 4.3</t>
  </si>
  <si>
    <t>US-103</t>
  </si>
  <si>
    <t>Intake</t>
  </si>
  <si>
    <t>As a system owner, I want to complete intake via conversational chat with pre-filled answers from my documents so that effort is minimal.</t>
  </si>
  <si>
    <t>≥60% fields pre-filled; owner confirms each extracted answer</t>
  </si>
  <si>
    <t>NIST MAP 1.1</t>
  </si>
  <si>
    <t>US-104</t>
  </si>
  <si>
    <t>As a governance analyst, I want completeness scoring and automated nudges so that records reach ≥95% completeness.</t>
  </si>
  <si>
    <t>Should</t>
  </si>
  <si>
    <t>Score visible per record; reminders escalate after 5 days</t>
  </si>
  <si>
    <t>ISO 7.5</t>
  </si>
  <si>
    <t>US-105</t>
  </si>
  <si>
    <t>As an auditor, I want immutable version history of every record change so that decisions are traceable.</t>
  </si>
  <si>
    <t>Every edit stores who/when/what; export available</t>
  </si>
  <si>
    <t>A0 Orchestrator</t>
  </si>
  <si>
    <t>EU Art.12 (logging principle); ISO 7.5</t>
  </si>
  <si>
    <t>US-106</t>
  </si>
  <si>
    <t>As Legal, I want the provider/deployer role determined per system so that correct obligations apply.</t>
  </si>
  <si>
    <t>Role captured with rationale; changes trigger re-tier flag</t>
  </si>
  <si>
    <t>EU Art.3, Art.25</t>
  </si>
  <si>
    <t>US-107</t>
  </si>
  <si>
    <t>Security</t>
  </si>
  <si>
    <t>As a CISO, I want PII/secret redaction before any LLM call so that sensitive data is protected.</t>
  </si>
  <si>
    <t>0 unredacted PII in prompt logs on test set</t>
  </si>
  <si>
    <t>ISO A.7.x; NIST GOVERN 1.x</t>
  </si>
  <si>
    <t>US-108</t>
  </si>
  <si>
    <t>Platform</t>
  </si>
  <si>
    <t>As a platform owner, I want an orchestrator with run logging so that every agent action is auditable.</t>
  </si>
  <si>
    <t>Run ID, agent, version, inputs/outputs hash logged</t>
  </si>
  <si>
    <t>ISO 9.1; EU Art.12</t>
  </si>
  <si>
    <t>US-201</t>
  </si>
  <si>
    <t>Knowledge</t>
  </si>
  <si>
    <t>As a tiering agent, I want a RAG index of AI Act articles, annexes, Omnibus amendments and guidelines so that citations are grounded.</t>
  </si>
  <si>
    <t>Answers cite retrievable passages; citation accuracy ≥95%</t>
  </si>
  <si>
    <t>A3 Regulatory Knowledge</t>
  </si>
  <si>
    <t>EU Art.5,6,50,51–55</t>
  </si>
  <si>
    <t>US-202</t>
  </si>
  <si>
    <t>Rules</t>
  </si>
  <si>
    <t>As a compliance lead, I want a deterministic rules engine implementing R1–R10 so that baseline tiering is reproducible.</t>
  </si>
  <si>
    <t>100% match with Legal-approved test table</t>
  </si>
  <si>
    <t>A4 Risk Tiering</t>
  </si>
  <si>
    <t>EU Art.5,6,Annex I/III</t>
  </si>
  <si>
    <t>US-203</t>
  </si>
  <si>
    <t>LLM reasoning</t>
  </si>
  <si>
    <t>As a reviewer, I want the LLM to read free-text descriptions and detect Art.5/Annex III indicators missed by intake flags so that hidden risks are caught.</t>
  </si>
  <si>
    <t>Catches ≥90% of seeded hidden-indicator cases</t>
  </si>
  <si>
    <t>EU Art.5,6(2),6(3)</t>
  </si>
  <si>
    <t>US-204</t>
  </si>
  <si>
    <t>As a reviewer, I want rules-vs-LLM disagreements automatically escalated so that conflicts are never silently resolved.</t>
  </si>
  <si>
    <t>100% disagreements routed to full review</t>
  </si>
  <si>
    <t>A4/A5</t>
  </si>
  <si>
    <t>NIST MAP 5.1</t>
  </si>
  <si>
    <t>US-205</t>
  </si>
  <si>
    <t>Explainability</t>
  </si>
  <si>
    <t>As Legal, I want each decision to show decision path, article citations and evidence so that it is defensible.</t>
  </si>
  <si>
    <t>Rationale present for 100% decisions</t>
  </si>
  <si>
    <t>ISO A.6.2.3; EU Art.13 (principle)</t>
  </si>
  <si>
    <t>US-206</t>
  </si>
  <si>
    <t>Routing</t>
  </si>
  <si>
    <t>As a governance lead, I want confidence-based routing (fast-track vs full review) so that reviewer time is used well.</t>
  </si>
  <si>
    <t>Fast-track only if agent=rules and confidence ≥ threshold and not T1</t>
  </si>
  <si>
    <t>NIST GOVERN 1.4</t>
  </si>
  <si>
    <t>US-207</t>
  </si>
  <si>
    <t>Workbench</t>
  </si>
  <si>
    <t>As a reviewer, I want to approve or override with mandatory reason and second reviewer for T0/T1.</t>
  </si>
  <si>
    <t>Override reason mandatory; T0/T1 need 2 approvals</t>
  </si>
  <si>
    <t>A5 Review</t>
  </si>
  <si>
    <t>ISO 5.3, A.3.2</t>
  </si>
  <si>
    <t>US-208</t>
  </si>
  <si>
    <t>Evaluation</t>
  </si>
  <si>
    <t>As a product owner, I want a golden test set (≥100 labelled cases) and regression harness so that changes are measured.</t>
  </si>
  <si>
    <t>Harness reports accuracy, prohibited recall, over/under-classification</t>
  </si>
  <si>
    <t>NIST MEASURE 1.1</t>
  </si>
  <si>
    <t>US-209</t>
  </si>
  <si>
    <t>Scoring</t>
  </si>
  <si>
    <t>As a risk manager, I want a contextual score overlay (impact, data sensitivity, scale, autonomy) to set internal tier beyond EU category.</t>
  </si>
  <si>
    <t>Weights configurable; score reproducible</t>
  </si>
  <si>
    <t>NIST MAP 1.5, MAP 5.1; ISO 6.1.2</t>
  </si>
  <si>
    <t>US-210</t>
  </si>
  <si>
    <t>Hard stop</t>
  </si>
  <si>
    <t>As Legal, I want a Prohibited (Art.5) finding to trigger a stop workflow (block go-live, notify Legal, log decision).</t>
  </si>
  <si>
    <t>T0 finding creates blocker task within 1 hour</t>
  </si>
  <si>
    <t>A4/A0</t>
  </si>
  <si>
    <t>EU Art.5</t>
  </si>
  <si>
    <t>US-301</t>
  </si>
  <si>
    <t>Crosswalk</t>
  </si>
  <si>
    <t>As a compliance lead, I want a versioned crosswalk of requirements across EU/NIST/ISO so that one assessment satisfies three frameworks.</t>
  </si>
  <si>
    <t>24 requirements approved; change history retained</t>
  </si>
  <si>
    <t>A6 Mapping</t>
  </si>
  <si>
    <t>All three</t>
  </si>
  <si>
    <t>US-302</t>
  </si>
  <si>
    <t>Applicability</t>
  </si>
  <si>
    <t>As a system owner, I want the applicable requirement list generated from my tier so that I know what is expected.</t>
  </si>
  <si>
    <t>List matches Framework_Map 'Applies to'</t>
  </si>
  <si>
    <t>EU Art.6; ISO 6.1.3</t>
  </si>
  <si>
    <t>US-303</t>
  </si>
  <si>
    <t>Evidence</t>
  </si>
  <si>
    <t>As a control owner, I want the Evidence Agent to pull policies, model cards, tests and logs from source systems so that I do not upload manually.</t>
  </si>
  <si>
    <t>≥70% evidence auto-linked; hash+timestamp stored</t>
  </si>
  <si>
    <t>A7 Evidence</t>
  </si>
  <si>
    <t>ISO 7.5; NIST MEASURE 2.x</t>
  </si>
  <si>
    <t>US-304</t>
  </si>
  <si>
    <t>Assessment</t>
  </si>
  <si>
    <t>As a compliance analyst, I want the Gap Agent to judge evidence vs requirement (Implemented/Partial/Not/NA) with confidence so that triage is faster.</t>
  </si>
  <si>
    <t>≥85% agreement with SME sample</t>
  </si>
  <si>
    <t>A8 Gap</t>
  </si>
  <si>
    <t>EU Art.9–15; NIST MEASURE</t>
  </si>
  <si>
    <t>US-305</t>
  </si>
  <si>
    <t>Attestation</t>
  </si>
  <si>
    <t>As 2nd line, I want to challenge agent judgements and record attestations so that accountability is human.</t>
  </si>
  <si>
    <t>T1 'Implemented' requires human attestation</t>
  </si>
  <si>
    <t>ISO 9.2</t>
  </si>
  <si>
    <t>US-306</t>
  </si>
  <si>
    <t>As a risk manager, I want compliance scores per system, tier and requirement theme.</t>
  </si>
  <si>
    <t>Score formula documented; reconciles to statuses</t>
  </si>
  <si>
    <t>NIST MANAGE 1.2</t>
  </si>
  <si>
    <t>US-307</t>
  </si>
  <si>
    <t>ISO artefact</t>
  </si>
  <si>
    <t>As an ISO lead, I want a draft Statement of Applicability from tier and gaps.</t>
  </si>
  <si>
    <t>Could</t>
  </si>
  <si>
    <t>Draft generated for pilot systems</t>
  </si>
  <si>
    <t>ISO 6.1.3</t>
  </si>
  <si>
    <t>US-308</t>
  </si>
  <si>
    <t>NIST artefact</t>
  </si>
  <si>
    <t>As a governance lead, I want a NIST AI RMF profile (GOVERN/MAP/MEASURE/MANAGE) per system.</t>
  </si>
  <si>
    <t>Profile generated with linked evidence</t>
  </si>
  <si>
    <t>NIST AI RMF 1.0</t>
  </si>
  <si>
    <t>US-309</t>
  </si>
  <si>
    <t>GPAI</t>
  </si>
  <si>
    <t>As a GPAI provider team, I want a checklist for Art.53/55 documentation so that model obligations are tracked.</t>
  </si>
  <si>
    <t>Checklist covers tech doc, copyright policy, training summary, systemic-risk tests</t>
  </si>
  <si>
    <t>EU Art.53, 55</t>
  </si>
  <si>
    <t>US-401</t>
  </si>
  <si>
    <t>Remediation</t>
  </si>
  <si>
    <t>As an action owner, I want recommended actions with owner, priority and SLA derived from tier and gap type.</t>
  </si>
  <si>
    <t>≤30% edits before acceptance</t>
  </si>
  <si>
    <t>A9 Remediation</t>
  </si>
  <si>
    <t>NIST MANAGE 1.2; ISO 6.1.3, 10.2</t>
  </si>
  <si>
    <t>US-402</t>
  </si>
  <si>
    <t>Tracking</t>
  </si>
  <si>
    <t>As a governance lead, I want tracking, reminders and escalation for overdue actions.</t>
  </si>
  <si>
    <t>Overdue flagged automatically; escalation path per tier</t>
  </si>
  <si>
    <t>ISO 10.2</t>
  </si>
  <si>
    <t>US-403</t>
  </si>
  <si>
    <t>Monitoring</t>
  </si>
  <si>
    <t>As a model risk owner, I want monitoring ingest (drift, bias, incidents, vendor updates) linked to systems.</t>
  </si>
  <si>
    <t>≥3 telemetry sources connected</t>
  </si>
  <si>
    <t>A10 Monitoring</t>
  </si>
  <si>
    <t>EU Art.72; NIST MANAGE 4.1</t>
  </si>
  <si>
    <t>US-404</t>
  </si>
  <si>
    <t>Re-tiering</t>
  </si>
  <si>
    <t>As a governance lead, I want material-change events to trigger re-tiering automatically.</t>
  </si>
  <si>
    <t>≥95% triggers detected on synthetic events</t>
  </si>
  <si>
    <t>EU Art.6; NIST MAP 1.1</t>
  </si>
  <si>
    <t>US-405</t>
  </si>
  <si>
    <t>Incidents</t>
  </si>
  <si>
    <t>As Legal, I want serious incident candidates triaged with reporting deadline calculated (15/10/2 days).</t>
  </si>
  <si>
    <t>Correct deadline on 100% test cases</t>
  </si>
  <si>
    <t>A11 Incident</t>
  </si>
  <si>
    <t>EU Art.73; NIST MANAGE 4.3; ISO A.8.4</t>
  </si>
  <si>
    <t>US-406</t>
  </si>
  <si>
    <t>Regulatory watch</t>
  </si>
  <si>
    <t>As Compliance, I want regulatory changes monitored and rule/crosswalk updates proposed.</t>
  </si>
  <si>
    <t>Change proposals reference source and impacted rules</t>
  </si>
  <si>
    <t>A3/A6</t>
  </si>
  <si>
    <t>NIST GOVERN 1.1; ISO 4.2</t>
  </si>
  <si>
    <t>US-407</t>
  </si>
  <si>
    <t>Reporting</t>
  </si>
  <si>
    <t>As the CRO, I want dashboards and a board pack (tier mix, gaps, actions, incidents).</t>
  </si>
  <si>
    <t>Numbers reconcile 100% to source; narrative cites data</t>
  </si>
  <si>
    <t>A12 Reporting</t>
  </si>
  <si>
    <t>ISO 9.3</t>
  </si>
  <si>
    <t>US-408</t>
  </si>
  <si>
    <t>Audit</t>
  </si>
  <si>
    <t>As internal audit, I want an exportable audit trail of agent runs and human decisions.</t>
  </si>
  <si>
    <t>Export includes run ID, versions, overrides</t>
  </si>
  <si>
    <t>ISO 9.2; EU Art.12</t>
  </si>
  <si>
    <t>US-409</t>
  </si>
  <si>
    <t>AgentOps</t>
  </si>
  <si>
    <t>As a model owner, I want agent performance and drift monitoring (accuracy vs SME, override rate).</t>
  </si>
  <si>
    <t>Weekly metrics; alert on &gt;10% degradation</t>
  </si>
  <si>
    <t>NIST MEASURE 3.x; ISO 9.1</t>
  </si>
  <si>
    <t>US-410</t>
  </si>
  <si>
    <t>Acceptance</t>
  </si>
  <si>
    <t>As a business head, I want formal risk-acceptance workflow with expiry and compensating controls.</t>
  </si>
  <si>
    <t>Acceptance requires approver per tier; expires automatically</t>
  </si>
  <si>
    <t>ISO 6.1.3; NIST MANAGE 1.3</t>
  </si>
  <si>
    <t>US-411</t>
  </si>
  <si>
    <t>Vendor</t>
  </si>
  <si>
    <t>As procurement, I want third-party AI documentation requests generated for vendor systems.</t>
  </si>
  <si>
    <t>Request templates per requirement R18</t>
  </si>
  <si>
    <t>EU Art.25; NIST GOVERN 6.1; ISO A.10.3</t>
  </si>
  <si>
    <t>US-412</t>
  </si>
  <si>
    <t>Governance</t>
  </si>
  <si>
    <t>As an AI ethics lead, I want a periodic sample audit of fast-track decisions.</t>
  </si>
  <si>
    <t>10% monthly sample reviewed</t>
  </si>
  <si>
    <t>Agent Catalog</t>
  </si>
  <si>
    <t>13 agents across four MVPs; autonomy: Low = human decides, Medium = agent proposes/human approves, High = agent acts within guardrails.</t>
  </si>
  <si>
    <t>Agent ID</t>
  </si>
  <si>
    <t>Purpose</t>
  </si>
  <si>
    <t>Key Inputs</t>
  </si>
  <si>
    <t>Key Outputs</t>
  </si>
  <si>
    <t>Tools / Integrations</t>
  </si>
  <si>
    <t>Reasoning Approach</t>
  </si>
  <si>
    <t>Autonomy Level</t>
  </si>
  <si>
    <t>Human Checkpoint</t>
  </si>
  <si>
    <t>Guardrails</t>
  </si>
  <si>
    <t>Evaluation Metrics</t>
  </si>
  <si>
    <t>Synthetic Data Sheet</t>
  </si>
  <si>
    <t>A0</t>
  </si>
  <si>
    <t>Orchestrator / Supervisor</t>
  </si>
  <si>
    <t>MVP-1+</t>
  </si>
  <si>
    <t>Plans work, routes tasks to agents, manages state, retries, review routing and audit logging</t>
  </si>
  <si>
    <t>Inventory events, agent outputs, Config</t>
  </si>
  <si>
    <t>Task graph, run log, routing decisions</t>
  </si>
  <si>
    <t>Workflow engine, state store, message bus</t>
  </si>
  <si>
    <t>Deterministic state machine with LLM planning for exceptions</t>
  </si>
  <si>
    <t>High (routing only)</t>
  </si>
  <si>
    <t>None for routing; humans approve all classifications</t>
  </si>
  <si>
    <t>No agent can approve its own output; PII redaction before LLM calls; run IDs immutable</t>
  </si>
  <si>
    <t>Task success rate; retry rate; latency</t>
  </si>
  <si>
    <t>Syn_Agent_Run_Log</t>
  </si>
  <si>
    <t>A1</t>
  </si>
  <si>
    <t>AI Discovery Agent</t>
  </si>
  <si>
    <t>Finds unregistered AI/ML use (shadow AI) from procurement, cloud spend, SaaS/SSO logs, code repositories</t>
  </si>
  <si>
    <t>Procurement export, cloud billing, SSO/app catalogue, repo scan</t>
  </si>
  <si>
    <t>Candidate AI systems with evidence links</t>
  </si>
  <si>
    <t>Connectors/APIs, entity resolution, signature library (AI SDKs, model endpoints)</t>
  </si>
  <si>
    <t>Rules + LLM classification of vendor/app descriptions</t>
  </si>
  <si>
    <t>Medium</t>
  </si>
  <si>
    <t>Governance analyst approves new records</t>
  </si>
  <si>
    <t>Read-only access; evidence link mandatory; no data content ingestion</t>
  </si>
  <si>
    <t>Recall of seeded shadow AI; precision</t>
  </si>
  <si>
    <t>Syn_AI_Inventory (Discovery Source)</t>
  </si>
  <si>
    <t>A2</t>
  </si>
  <si>
    <t>Intake &amp; Enrichment Agent</t>
  </si>
  <si>
    <t>Conducts conversational intake; pre-fills from model cards/docs; scores completeness; nudges owners</t>
  </si>
  <si>
    <t>Owner chat, model cards, architecture docs</t>
  </si>
  <si>
    <t>Complete inventory record, completeness %, open questions</t>
  </si>
  <si>
    <t>Chat UI, document parser, vector store</t>
  </si>
  <si>
    <t>LLM extraction to JSON schema with source spans</t>
  </si>
  <si>
    <t>System owner confirms every extracted value</t>
  </si>
  <si>
    <t>Schema validation; show source for each pre-filled value; no silent overwrites</t>
  </si>
  <si>
    <t>Field accuracy; pre-fill rate; completion time</t>
  </si>
  <si>
    <t>Syn_AI_Inventory</t>
  </si>
  <si>
    <t>A3</t>
  </si>
  <si>
    <t>Regulatory Knowledge Agent (RAG)</t>
  </si>
  <si>
    <t>Retrieves and cites AI Act provisions, Omnibus amendments, guidelines, NIST/ISO texts (licensed/owned)</t>
  </si>
  <si>
    <t>Query from A4/A5/A6</t>
  </si>
  <si>
    <t>Passages with citations and version/date</t>
  </si>
  <si>
    <t>Vector index, document store, citation verifier</t>
  </si>
  <si>
    <t>Retrieval-augmented generation; citation-only answers</t>
  </si>
  <si>
    <t>High (read-only)</t>
  </si>
  <si>
    <t>Legal curates corpus and approves updates</t>
  </si>
  <si>
    <t>Answers only from indexed corpus; verify quotes exist; show effective dates</t>
  </si>
  <si>
    <t>Citation accuracy; retrieval recall</t>
  </si>
  <si>
    <t>Reg_Timeline; Tiering_Rules</t>
  </si>
  <si>
    <t>A4</t>
  </si>
  <si>
    <t>Risk Tiering Agent</t>
  </si>
  <si>
    <t>Assigns EU AI Act category + internal tier using rules engine and LLM reading of free text; explains</t>
  </si>
  <si>
    <t>Inventory record, Tiering_Rules, RAG passages</t>
  </si>
  <si>
    <t>EU tier, internal tier, rationale, confidence, citations</t>
  </si>
  <si>
    <t>Rules engine, LLM (structured output), RAG</t>
  </si>
  <si>
    <t>Hybrid: deterministic rules first, LLM second-opinion; disagreements escalate</t>
  </si>
  <si>
    <t>Medium (proposes)</t>
  </si>
  <si>
    <t>Reviewer approves/overrides; T0/T1 need two approvals + Legal</t>
  </si>
  <si>
    <t>Prohibited indicators always escalate; low confidence → full review; explanations must cite</t>
  </si>
  <si>
    <t>Agent–SME agreement; prohibited recall; override rate</t>
  </si>
  <si>
    <t>Syn_Tiering</t>
  </si>
  <si>
    <t>A5</t>
  </si>
  <si>
    <t>Tier Review &amp; Challenge Agent</t>
  </si>
  <si>
    <t>Independent critic: argues the opposite classification, checks derogation claims (Art.6(3)), looks for missed Annex III/Art.5 signals</t>
  </si>
  <si>
    <t>Tiering output, inventory record</t>
  </si>
  <si>
    <t>Challenge notes, disagreement flag</t>
  </si>
  <si>
    <t>LLM (separate prompt/model), RAG</t>
  </si>
  <si>
    <t>Adversarial second opinion</t>
  </si>
  <si>
    <t>Reviewer sees both views</t>
  </si>
  <si>
    <t>Cannot change tier; results shown to reviewer</t>
  </si>
  <si>
    <t>Disagreement usefulness (accepted %)</t>
  </si>
  <si>
    <t>Syn_Tiering (Agent vs SME)</t>
  </si>
  <si>
    <t>A6</t>
  </si>
  <si>
    <t>Framework Mapping Agent</t>
  </si>
  <si>
    <t>Applies crosswalk: derives applicable EU/NIST/ISO requirements per tier; generates NIST profile &amp; ISO SoA draft</t>
  </si>
  <si>
    <t>Final tier, Framework_Map</t>
  </si>
  <si>
    <t>Applicable requirement list per system</t>
  </si>
  <si>
    <t>Crosswalk data store, templating</t>
  </si>
  <si>
    <t>Deterministic lookup + LLM drafting</t>
  </si>
  <si>
    <t>High (lookup) / Medium (drafts)</t>
  </si>
  <si>
    <t>Compliance approves crosswalk versions</t>
  </si>
  <si>
    <t>Versioned crosswalk; drafts marked AI-generated</t>
  </si>
  <si>
    <t>Applicability accuracy</t>
  </si>
  <si>
    <t>Framework_Map</t>
  </si>
  <si>
    <t>A7</t>
  </si>
  <si>
    <t>Evidence Collection Agent</t>
  </si>
  <si>
    <t>Collects and links evidence artefacts (policies, model cards, test reports, DPIAs, logs, contracts)</t>
  </si>
  <si>
    <t>Requirement list, repositories</t>
  </si>
  <si>
    <t>Evidence links with hash/timestamp</t>
  </si>
  <si>
    <t>GRC, MLOps registry, document stores, email/ticket search</t>
  </si>
  <si>
    <t>Search + LLM relevance ranking</t>
  </si>
  <si>
    <t>Control owner confirms relevance</t>
  </si>
  <si>
    <t>Least-privilege access; store references not content; freshness checks</t>
  </si>
  <si>
    <t>Evidence coverage; relevance precision</t>
  </si>
  <si>
    <t>Syn_Gap_Assessment (Evidence Ref)</t>
  </si>
  <si>
    <t>A8</t>
  </si>
  <si>
    <t>Gap Assessment Agent</t>
  </si>
  <si>
    <t>Judges evidence vs each requirement; assigns status + confidence; computes compliance credit</t>
  </si>
  <si>
    <t>Requirement, evidence</t>
  </si>
  <si>
    <t>Status (Implemented/Partial/Not/NA), rationale, confidence</t>
  </si>
  <si>
    <t>LLM document QA, scoring service</t>
  </si>
  <si>
    <t>Rubric-based judgement with citations to evidence</t>
  </si>
  <si>
    <t>2nd line challenges; T1 'Implemented' needs attestation</t>
  </si>
  <si>
    <t>No 'Implemented' without evidence; low confidence → human</t>
  </si>
  <si>
    <t>Agreement with SME; false-positive 'Implemented'</t>
  </si>
  <si>
    <t>Syn_Gap_Assessment</t>
  </si>
  <si>
    <t>A9</t>
  </si>
  <si>
    <t>Remediation Planning Agent</t>
  </si>
  <si>
    <t>Proposes actions, owners, priority, due dates from tier SLA and gap type; tracks and escalates</t>
  </si>
  <si>
    <t>Gaps, Tier_Obligations, capacity</t>
  </si>
  <si>
    <t>Remediation plan, reminders, escalations</t>
  </si>
  <si>
    <t>Ticketing (Jira/ServiceNow), calendar</t>
  </si>
  <si>
    <t>Playbook lookup + LLM specialisation of action text</t>
  </si>
  <si>
    <t>Owner accepts; validator closes; risk acceptance human-only</t>
  </si>
  <si>
    <t>Cannot close own actions; SLA per tier</t>
  </si>
  <si>
    <t>% accepted unedited; on-time closure</t>
  </si>
  <si>
    <t>Syn_Remediation</t>
  </si>
  <si>
    <t>A10</t>
  </si>
  <si>
    <t>Monitoring &amp; Re-tiering Agent</t>
  </si>
  <si>
    <t>Watches drift/bias/incidents/vendor and intended-purpose changes; triggers re-tiering</t>
  </si>
  <si>
    <t>Monitoring telemetry, change logs, vendor notices</t>
  </si>
  <si>
    <t>Alerts, re-tier requests</t>
  </si>
  <si>
    <t>Event bus, MLOps monitors, change management</t>
  </si>
  <si>
    <t>Threshold rules + LLM summarisation</t>
  </si>
  <si>
    <t>High (alerts) / Medium (re-tier request)</t>
  </si>
  <si>
    <t>Governance lead decides re-tier</t>
  </si>
  <si>
    <t>Dedup; severity thresholds; evidence attached</t>
  </si>
  <si>
    <t>Trigger recall; false-alert rate</t>
  </si>
  <si>
    <t>Syn_Monitoring</t>
  </si>
  <si>
    <t>A11</t>
  </si>
  <si>
    <t>Incident Triage Agent</t>
  </si>
  <si>
    <t>Classifies incidents, flags potential serious incidents (Art.73), computes reporting deadlines</t>
  </si>
  <si>
    <t>Incident tickets, system tier</t>
  </si>
  <si>
    <t>Triage record, deadline, draft notification</t>
  </si>
  <si>
    <t>Ticketing, template engine</t>
  </si>
  <si>
    <t>Rule-based deadline calc + LLM summarisation</t>
  </si>
  <si>
    <t>Low–Medium</t>
  </si>
  <si>
    <t>Legal decides on notification</t>
  </si>
  <si>
    <t>Drafts only; never submits to authorities</t>
  </si>
  <si>
    <t>Deadline accuracy; time-to-triage</t>
  </si>
  <si>
    <t>A12</t>
  </si>
  <si>
    <t>Governance Reporting Agent</t>
  </si>
  <si>
    <t>Builds dashboards, board packs, agent-performance reports</t>
  </si>
  <si>
    <t>All approved outputs</t>
  </si>
  <si>
    <t>Dashboards, narrative, KPI trends</t>
  </si>
  <si>
    <t>BI tool, document generator</t>
  </si>
  <si>
    <t>Templated narrative from computed metrics with citations</t>
  </si>
  <si>
    <t>High (draft) / Low (publish)</t>
  </si>
  <si>
    <t>Head of AI Governance approves before distribution</t>
  </si>
  <si>
    <t>Numbers only from computed sources; reconcile check</t>
  </si>
  <si>
    <t>Report accuracy; prep time</t>
  </si>
  <si>
    <t>Dashboard</t>
  </si>
  <si>
    <t>Risk Tiering Decision Logic (evaluated in order)</t>
  </si>
  <si>
    <t>Implemented as formulas in Syn_Tiering (R1–R12). LLM agents (A4/A5) test the same logic against free-text descriptions.</t>
  </si>
  <si>
    <t>Rule ID</t>
  </si>
  <si>
    <t>Order</t>
  </si>
  <si>
    <t>Step</t>
  </si>
  <si>
    <t>Question / Condition</t>
  </si>
  <si>
    <t>Intake Fields Used</t>
  </si>
  <si>
    <t>Outcome</t>
  </si>
  <si>
    <t>Legal Basis</t>
  </si>
  <si>
    <t>Notes / Edge Cases</t>
  </si>
  <si>
    <t>R1</t>
  </si>
  <si>
    <t>Scope</t>
  </si>
  <si>
    <t>Is the system placed on the EU market, put into service in the EU, or is its output used in the EU?</t>
  </si>
  <si>
    <t>EU Nexus</t>
  </si>
  <si>
    <t>N → 'Out of EU AI Act Scope' (apply internal tier only)</t>
  </si>
  <si>
    <t>Art. 2</t>
  </si>
  <si>
    <t>Non-EU-only use still receives NIST/ISO internal governance; re-check if use extends to EU.</t>
  </si>
  <si>
    <t>R2</t>
  </si>
  <si>
    <t>Prohibited practices</t>
  </si>
  <si>
    <t>Does the system perform any Art.5 prohibited practice? (subliminal/manipulative techniques; exploiting vulnerabilities; social scoring; predictive policing based solely on profiling; untargeted facial-image scraping; emotion recognition in workplace/education; biometric categorisation inferring sensitive attributes; real-time remote biometric ID in public for law enforcement (narrow exceptions); plus new Omnibus additions on non-consensual intimate imagery / CSAM generation)</t>
  </si>
  <si>
    <t>Art.5 Flag; LLM reading of Description</t>
  </si>
  <si>
    <t>Y → 'Prohibited (Art.5)' → T0 Stop</t>
  </si>
  <si>
    <t>Art. 5 (as amended by Reg. (EU) 2026/1744)</t>
  </si>
  <si>
    <t>LLM agent must check description even when flag = N (e.g., interview emotion analysis). Legal must confirm. Highest fine tier (up to €35m or 7% turnover).</t>
  </si>
  <si>
    <t>R3</t>
  </si>
  <si>
    <t>Product safety</t>
  </si>
  <si>
    <t>Is the AI a safety component of (or itself) a product covered by Annex I Union harmonisation legislation requiring third-party conformity assessment?</t>
  </si>
  <si>
    <t>Annex I Safety Component</t>
  </si>
  <si>
    <t>Y → 'High-Risk (Annex I)'</t>
  </si>
  <si>
    <t>Art. 6(1), Annex I</t>
  </si>
  <si>
    <t>Application date deferred to 2 Aug 2028 by Omnibus.</t>
  </si>
  <si>
    <t>R4</t>
  </si>
  <si>
    <t>Annex III use case</t>
  </si>
  <si>
    <t>Is the intended use in an Annex III domain (biometrics, critical infrastructure, education, employment, essential services, law enforcement, migration, justice/democracy)?</t>
  </si>
  <si>
    <t>Annex III Domain</t>
  </si>
  <si>
    <t>Domain ≠ None → candidate High-Risk</t>
  </si>
  <si>
    <t>Art. 6(2), Annex III</t>
  </si>
  <si>
    <t>See domain guide below. Exclusions: fraud detection (not credit scoring), biometric verification-only.</t>
  </si>
  <si>
    <t>R5</t>
  </si>
  <si>
    <t>Profiling override</t>
  </si>
  <si>
    <t>Does the Annex III system profile natural persons?</t>
  </si>
  <si>
    <t>Profiling of Persons</t>
  </si>
  <si>
    <t>Y → 'High-Risk (Annex III)' (no derogation)</t>
  </si>
  <si>
    <t>Art. 6(3) last subparagraph</t>
  </si>
  <si>
    <t>Profiling always high-risk when in Annex III domain.</t>
  </si>
  <si>
    <t>R6</t>
  </si>
  <si>
    <t>Derogation</t>
  </si>
  <si>
    <t>If not profiling: does Art.6(3) apply (narrow procedural task, improves prior human activity, detects deviations without replacing human assessment, or preparatory task) and is it documented?</t>
  </si>
  <si>
    <t>Art 6(3) Derogation Claimed</t>
  </si>
  <si>
    <t>Derogation = Y &amp; profiling = N → not High-Risk (continue R7–R10); else 'High-Risk (Annex III)'</t>
  </si>
  <si>
    <t>Art. 6(3), 6(4)</t>
  </si>
  <si>
    <t>Provider must document the assessment and register the system (Art.49(2)); reviewer must challenge weak claims (A5).</t>
  </si>
  <si>
    <t>R7</t>
  </si>
  <si>
    <t>GPAI model</t>
  </si>
  <si>
    <t>Does the organisation provide a general-purpose AI model?</t>
  </si>
  <si>
    <t>GPAI Provided</t>
  </si>
  <si>
    <t>Y → 'GPAI' (continue R8)</t>
  </si>
  <si>
    <t>Art. 51–53</t>
  </si>
  <si>
    <t>Model provider obligations since 2 Aug 2025; deployers using vendor GPAI are typically not GPAI providers.</t>
  </si>
  <si>
    <t>R8</t>
  </si>
  <si>
    <t>Systemic risk</t>
  </si>
  <si>
    <t>Training compute ≥ 10^25 FLOP (presumption) or Commission designation?</t>
  </si>
  <si>
    <t>Training Compute (FLOP)</t>
  </si>
  <si>
    <t>≥ threshold → 'GPAI with Systemic Risk'</t>
  </si>
  <si>
    <t>Art. 51(2), Art. 55</t>
  </si>
  <si>
    <t>Threshold in Config; notify Commission within 2 weeks of meeting criterion.</t>
  </si>
  <si>
    <t>R9</t>
  </si>
  <si>
    <t>Transparency</t>
  </si>
  <si>
    <t>Does the system interact directly with persons, generate synthetic audio/image/video/text, or perform emotion recognition/biometric categorisation?</t>
  </si>
  <si>
    <t>Interacts; Generates Synthetic Content; Emotion/Biometric</t>
  </si>
  <si>
    <t>Any Y → 'Limited Risk (Art.50)'</t>
  </si>
  <si>
    <t>Art. 50</t>
  </si>
  <si>
    <t>Art.50 duties can also apply on top of High-Risk (flag shown separately). Art.50(2) marking for legacy systems from 2 Dec 2026.</t>
  </si>
  <si>
    <t>R10</t>
  </si>
  <si>
    <t>Default</t>
  </si>
  <si>
    <t>None of the above</t>
  </si>
  <si>
    <t>—</t>
  </si>
  <si>
    <t>'Minimal Risk'</t>
  </si>
  <si>
    <t>Voluntary codes of conduct; AI literacy and internal governance still apply.</t>
  </si>
  <si>
    <t>R11</t>
  </si>
  <si>
    <t>Contextual score</t>
  </si>
  <si>
    <t>Internal score = w1·Impact + w2·Data sensitivity + w3·Scale + w4·Autonomy (weights in Config)</t>
  </si>
  <si>
    <t>Impact Severity; Data Sensitivity; Scale; Autonomy</t>
  </si>
  <si>
    <t>Score ≥ 4.0 → T1; ≥ 3.0 → T2; else T3</t>
  </si>
  <si>
    <t>NIST AI RMF MAP 1.5, MAP 5.1; ISO 42001 6.1.2</t>
  </si>
  <si>
    <t>Captures risks outside the EU categories (e.g., non-EU credit pre-screening, voice biometrics).</t>
  </si>
  <si>
    <t>R12</t>
  </si>
  <si>
    <t>Final internal tier</t>
  </si>
  <si>
    <t>Final tier = most severe of EU-derived tier and score-derived tier; Prohibited always T0</t>
  </si>
  <si>
    <t>Outputs of R2–R11</t>
  </si>
  <si>
    <t>T0 Stop / T1 Critical / T2 Elevated / T3 Standard</t>
  </si>
  <si>
    <t>Org policy (see Tier_Obligations)</t>
  </si>
  <si>
    <t>Reviewer may raise but not lower a tier without documented rationale.</t>
  </si>
  <si>
    <t>Annex III domain guide (Art. 6(2))</t>
  </si>
  <si>
    <t>#</t>
  </si>
  <si>
    <t>Domain</t>
  </si>
  <si>
    <t>Typical high-risk use cases</t>
  </si>
  <si>
    <t>Exclusions / notes</t>
  </si>
  <si>
    <t>Biometrics</t>
  </si>
  <si>
    <t>Remote biometric identification; biometric categorisation by sensitive attributes; emotion recognition</t>
  </si>
  <si>
    <t>Biometric verification whose sole purpose is confirming a person's identity is excluded; some uses are prohibited under Art.5</t>
  </si>
  <si>
    <t>Critical infrastructure</t>
  </si>
  <si>
    <t>Safety components in management/operation of critical digital infrastructure, road traffic, supply of water, gas, heating, electricity</t>
  </si>
  <si>
    <t>Cybersecurity-only tools are not automatically in scope</t>
  </si>
  <si>
    <t>Education &amp; vocational training</t>
  </si>
  <si>
    <t>Admission/access; evaluating learning outcomes; assessing appropriate education level; monitoring prohibited behaviour during tests</t>
  </si>
  <si>
    <t>Emotion recognition in education is prohibited (Art.5)</t>
  </si>
  <si>
    <t>Employment &amp; workers management</t>
  </si>
  <si>
    <t>Recruitment/selection (targeted job ads, filtering, evaluating candidates); decisions on terms, promotion, termination; task allocation based on behaviour/traits; performance monitoring</t>
  </si>
  <si>
    <t>Emotion recognition in the workplace is prohibited (Art.5)</t>
  </si>
  <si>
    <t>Essential private &amp; public services</t>
  </si>
  <si>
    <t>Eligibility for public benefits; creditworthiness / credit scoring; risk assessment &amp; pricing for life and health insurance; emergency call evaluation, dispatch and triage</t>
  </si>
  <si>
    <t>AI used to detect financial fraud is excluded from the credit-scoring category</t>
  </si>
  <si>
    <t>Law enforcement</t>
  </si>
  <si>
    <t>Risk of victimisation/offending assessment; polygraph-type tools; evidence reliability; profiling in investigations</t>
  </si>
  <si>
    <t>Some uses prohibited (Art.5)</t>
  </si>
  <si>
    <t>Migration, asylum &amp; border control</t>
  </si>
  <si>
    <t>Risk assessment of migrants; examination of applications; detection/identification of persons</t>
  </si>
  <si>
    <t>Travel-document verification is limited</t>
  </si>
  <si>
    <t>Administration of justice &amp; democratic processes</t>
  </si>
  <si>
    <t>AI assisting judicial authorities in researching/interpreting facts and law; influencing elections/voting behaviour</t>
  </si>
  <si>
    <t>Purely administrative back-office tools excluded</t>
  </si>
  <si>
    <t>Internal Tier Definitions &amp; EU AI Act Obligations</t>
  </si>
  <si>
    <t>Table 1 drives remediation priority/SLA lookups in Syn_Remediation. Table 2 summarises EU tier obligations (validate with Legal).</t>
  </si>
  <si>
    <t>Typical EU Tier(s)</t>
  </si>
  <si>
    <t>Assessment Depth</t>
  </si>
  <si>
    <t>Reviewers</t>
  </si>
  <si>
    <t>Review Cadence</t>
  </si>
  <si>
    <t>Approval Authority</t>
  </si>
  <si>
    <t>Tiering Decision SLA (days)</t>
  </si>
  <si>
    <t>Framework Scope</t>
  </si>
  <si>
    <t>Prohibited (Art.5)</t>
  </si>
  <si>
    <t>P0</t>
  </si>
  <si>
    <t>Legal determination; decommission / redesign plan</t>
  </si>
  <si>
    <t>AI Governance + Legal + CRO delegate</t>
  </si>
  <si>
    <t>Immediate; then case closure</t>
  </si>
  <si>
    <t>CRO / General Counsel</t>
  </si>
  <si>
    <t>EU Art.5 screening; NIST GOVERN 1.1; ISO 4.2</t>
  </si>
  <si>
    <t>High-Risk; GPAI systemic; T1 by score</t>
  </si>
  <si>
    <t>P1</t>
  </si>
  <si>
    <t>Full: all applicable EU/NIST/ISO requirements with evidence</t>
  </si>
  <si>
    <t>Two reviewers (Governance + Model Risk); Legal for EU high-risk</t>
  </si>
  <si>
    <t>Quarterly + on material change</t>
  </si>
  <si>
    <t>Head of AI Governance; CRO for acceptance</t>
  </si>
  <si>
    <t>EU Art.9–15,17,26/27,72,73; NIST all functions; ISO Clauses 4–10 + Annex A</t>
  </si>
  <si>
    <t>Limited (Art.50); GPAI; T2 by score</t>
  </si>
  <si>
    <t>P2</t>
  </si>
  <si>
    <t>Targeted: transparency, data, oversight, third-party</t>
  </si>
  <si>
    <t>Single reviewer (fast-track if confidence ≥ threshold)</t>
  </si>
  <si>
    <t>Annual + on material change</t>
  </si>
  <si>
    <t>AI Governance lead</t>
  </si>
  <si>
    <t>EU Art.50/53; NIST MAP/MEASURE core; ISO A.5, A.6, A.9</t>
  </si>
  <si>
    <t>Minimal; Out of scope</t>
  </si>
  <si>
    <t>P3</t>
  </si>
  <si>
    <t>Baseline: inventory, ownership, AI literacy, attestation</t>
  </si>
  <si>
    <t>Automated + owner attestation</t>
  </si>
  <si>
    <t>Annual</t>
  </si>
  <si>
    <t>System owner + Governance analyst</t>
  </si>
  <si>
    <t>EU Art.4 (verify wording post-Omnibus); NIST GOVERN 1.6; ISO 4.3, A.4.2</t>
  </si>
  <si>
    <t>Table 2 – EU AI Act tier obligations (summary)</t>
  </si>
  <si>
    <t>Key Obligations (summary)</t>
  </si>
  <si>
    <t>Application Date (post-Omnibus)</t>
  </si>
  <si>
    <t>Primary Roles</t>
  </si>
  <si>
    <t>Max Penalty Tier (indicative)</t>
  </si>
  <si>
    <t>Do not place on market/put into service/use; cease and withdraw</t>
  </si>
  <si>
    <t>In effect since 2 Feb 2025 (new NCII/CSAM prohibition: safeguards grace to 2 Dec 2026)</t>
  </si>
  <si>
    <t>Provider, deployer</t>
  </si>
  <si>
    <t>Up to €35m or 7% worldwide turnover</t>
  </si>
  <si>
    <t>High-Risk (Annex III)</t>
  </si>
  <si>
    <t>Risk management (Art.9), data governance (10), technical documentation (11), logging (12), transparency (13), human oversight (14), accuracy/robustness/cybersecurity (15), QMS (17), conformity assessment, registration (49), post-market monitoring (72), incident reporting (73); deployer duties (26, 27)</t>
  </si>
  <si>
    <t>2 Dec 2027</t>
  </si>
  <si>
    <t>Provider, deployer, importer, distributor</t>
  </si>
  <si>
    <t>Up to €15m or 3%</t>
  </si>
  <si>
    <t>High-Risk (Annex I)</t>
  </si>
  <si>
    <t>As above through sectoral conformity routes</t>
  </si>
  <si>
    <t>2 Aug 2028</t>
  </si>
  <si>
    <t>Technical documentation, downstream information, copyright policy, training-content summary (Art.53)</t>
  </si>
  <si>
    <t>In effect since 2 Aug 2025 (models on market before: 2 Aug 2027)</t>
  </si>
  <si>
    <t>GPAI provider</t>
  </si>
  <si>
    <t>GPAI with Systemic Risk</t>
  </si>
  <si>
    <t>Art.53 plus model evaluation, adversarial testing, systemic-risk mitigation, serious incident reporting, cybersecurity (Art.55); notify Commission</t>
  </si>
  <si>
    <t>In effect since 2 Aug 2025</t>
  </si>
  <si>
    <t>Limited Risk (Art.50)</t>
  </si>
  <si>
    <t>Disclose AI interaction; mark synthetic content (50(2)); inform on emotion recognition/biometric categorisation; label deepfakes</t>
  </si>
  <si>
    <t>2 Aug 2026 (Art.50(2) for legacy systems: 2 Dec 2026)</t>
  </si>
  <si>
    <t>Minimal Risk</t>
  </si>
  <si>
    <t>No mandatory AI Act obligations; voluntary codes; AI literacy (Art.4 – verify current wording)</t>
  </si>
  <si>
    <t>AI literacy since 2 Feb 2025 (verify)</t>
  </si>
  <si>
    <t>n/a</t>
  </si>
  <si>
    <t>Out of EU AI Act Scope</t>
  </si>
  <si>
    <t>Internal NIST/ISO governance only</t>
  </si>
  <si>
    <t>Framework Crosswalk – EU AI Act ↔ NIST AI RMF ↔ ISO/IEC 42001</t>
  </si>
  <si>
    <t>Illustrative mapping; validate references and applicability with Legal/Compliance. Some ISO references are 'closest match' where no direct clause exists.</t>
  </si>
  <si>
    <t>Req ID</t>
  </si>
  <si>
    <t>Theme</t>
  </si>
  <si>
    <t>Requirement</t>
  </si>
  <si>
    <t>EU AI Act Reference</t>
  </si>
  <si>
    <t>NIST AI RMF 1.0 Reference</t>
  </si>
  <si>
    <t>ISO/IEC 42001:2023 Reference</t>
  </si>
  <si>
    <t>Applies To</t>
  </si>
  <si>
    <t>Evidence Expected</t>
  </si>
  <si>
    <t>Automation Potential</t>
  </si>
  <si>
    <t>Checking Agent</t>
  </si>
  <si>
    <t>R01</t>
  </si>
  <si>
    <t>Inventory &amp; classification</t>
  </si>
  <si>
    <t>Maintain AI system inventory with documented risk classification</t>
  </si>
  <si>
    <t>Art. 6, Annex III; Art. 49 (registration)</t>
  </si>
  <si>
    <t>GOVERN 1.6</t>
  </si>
  <si>
    <t>Cl. 4.3; A.4.2</t>
  </si>
  <si>
    <t>All tiers</t>
  </si>
  <si>
    <t>Inventory record, classification rationale</t>
  </si>
  <si>
    <t>High</t>
  </si>
  <si>
    <t>A2/A4</t>
  </si>
  <si>
    <t>R02</t>
  </si>
  <si>
    <t>Governance &amp; accountability</t>
  </si>
  <si>
    <t>Defined AI policy, roles and accountability</t>
  </si>
  <si>
    <t>Art. 17 (QMS); Art. 26</t>
  </si>
  <si>
    <t>GOVERN 1.2, GOVERN 2.1</t>
  </si>
  <si>
    <t>Cl. 5.2, 5.3; A.2.2; A.3.2</t>
  </si>
  <si>
    <t>Policy, RACI, owner attestation</t>
  </si>
  <si>
    <t>R03</t>
  </si>
  <si>
    <t>Risk management</t>
  </si>
  <si>
    <t>Lifecycle risk management system for the AI system</t>
  </si>
  <si>
    <t>Art. 9</t>
  </si>
  <si>
    <t>MAP 5.1, MANAGE 1.2</t>
  </si>
  <si>
    <t>Cl. 6.1.2, 6.1.3, 8.2, 8.3</t>
  </si>
  <si>
    <t>High-Risk; T1</t>
  </si>
  <si>
    <t>Risk register, treatment plan</t>
  </si>
  <si>
    <t>R04</t>
  </si>
  <si>
    <t>Data governance</t>
  </si>
  <si>
    <t>Data quality, provenance, representativeness and bias examination</t>
  </si>
  <si>
    <t>Art. 10</t>
  </si>
  <si>
    <t>MAP 2.3</t>
  </si>
  <si>
    <t>A.7.2, A.7.4, A.7.5</t>
  </si>
  <si>
    <t>Data sheets, quality reports</t>
  </si>
  <si>
    <t>A7/A8</t>
  </si>
  <si>
    <t>R05</t>
  </si>
  <si>
    <t>Documentation</t>
  </si>
  <si>
    <t>Technical documentation kept up to date</t>
  </si>
  <si>
    <t>Art. 11, Annex IV</t>
  </si>
  <si>
    <t>GOVERN 4.2</t>
  </si>
  <si>
    <t>A.6.2.7; A.8.2</t>
  </si>
  <si>
    <t>High-Risk; GPAI</t>
  </si>
  <si>
    <t>Technical file, model card</t>
  </si>
  <si>
    <t>R06</t>
  </si>
  <si>
    <t>Logging</t>
  </si>
  <si>
    <t>Automatic event logging and retention</t>
  </si>
  <si>
    <t>Art. 12</t>
  </si>
  <si>
    <t>MANAGE 4.1</t>
  </si>
  <si>
    <t>A.6.2.8</t>
  </si>
  <si>
    <t>High-Risk</t>
  </si>
  <si>
    <t>Logging config, retention policy</t>
  </si>
  <si>
    <t>R07</t>
  </si>
  <si>
    <t>Transparency to deployers</t>
  </si>
  <si>
    <t>Instructions for use and information for deployers</t>
  </si>
  <si>
    <t>Art. 13</t>
  </si>
  <si>
    <t>MEASURE 2.8</t>
  </si>
  <si>
    <t>A.8.2; A.8.5</t>
  </si>
  <si>
    <t>Instructions for use</t>
  </si>
  <si>
    <t>R08</t>
  </si>
  <si>
    <t>Human oversight</t>
  </si>
  <si>
    <t>Effective human oversight measures and competence</t>
  </si>
  <si>
    <t>Art. 14; Art. 26(2)</t>
  </si>
  <si>
    <t>MAP 3.5</t>
  </si>
  <si>
    <t>A.9.2; A.6.1.3</t>
  </si>
  <si>
    <t>Oversight procedure, reviewer training</t>
  </si>
  <si>
    <t>R09</t>
  </si>
  <si>
    <t>Accuracy &amp; security</t>
  </si>
  <si>
    <t>Accuracy, robustness and cybersecurity</t>
  </si>
  <si>
    <t>Art. 15</t>
  </si>
  <si>
    <t>MEASURE 2.5, MEASURE 2.7</t>
  </si>
  <si>
    <t>A.6.2.4</t>
  </si>
  <si>
    <t>Test reports, pen-test, robustness results</t>
  </si>
  <si>
    <t>Bias &amp; fairness</t>
  </si>
  <si>
    <t>Bias and fairness testing with subgroup analysis</t>
  </si>
  <si>
    <t>Art. 10(2)</t>
  </si>
  <si>
    <t>MEASURE 2.11</t>
  </si>
  <si>
    <t>A.5.4; A.6.2.4</t>
  </si>
  <si>
    <t>Fairness metrics, mitigations</t>
  </si>
  <si>
    <t>Quality management</t>
  </si>
  <si>
    <t>Quality management system covering AI lifecycle</t>
  </si>
  <si>
    <t>Art. 17</t>
  </si>
  <si>
    <t>GOVERN 1.4</t>
  </si>
  <si>
    <t>Cl. 4.4, 7.5, 8.1</t>
  </si>
  <si>
    <t>QMS procedures</t>
  </si>
  <si>
    <t>Low</t>
  </si>
  <si>
    <t>Impact assessment</t>
  </si>
  <si>
    <t>Fundamental rights / AI system impact assessment</t>
  </si>
  <si>
    <t>Art. 27</t>
  </si>
  <si>
    <t>MAP 1.1, MAP 5.1</t>
  </si>
  <si>
    <t>Cl. 6.1.4, 8.4; A.5.2–A.5.4</t>
  </si>
  <si>
    <t>High-Risk (deployers); T1</t>
  </si>
  <si>
    <t>Completed impact assessment</t>
  </si>
  <si>
    <t>R13</t>
  </si>
  <si>
    <t>Conformity assessment</t>
  </si>
  <si>
    <t>Conformity assessment, declaration of conformity, CE marking</t>
  </si>
  <si>
    <t>Art. 43, 47, 48</t>
  </si>
  <si>
    <t>GOVERN 1.1</t>
  </si>
  <si>
    <t>Cl. 9.2 (closest)</t>
  </si>
  <si>
    <t>High-Risk (providers)</t>
  </si>
  <si>
    <t>Declaration, assessment report</t>
  </si>
  <si>
    <t>R14</t>
  </si>
  <si>
    <t>Registration</t>
  </si>
  <si>
    <t>Registration in EU database</t>
  </si>
  <si>
    <t>Art. 49, 71</t>
  </si>
  <si>
    <t>Cl. 4.2 (closest)</t>
  </si>
  <si>
    <t>Registration confirmation</t>
  </si>
  <si>
    <t>R15</t>
  </si>
  <si>
    <t>Post-market monitoring</t>
  </si>
  <si>
    <t>Post-market / post-deployment monitoring plan</t>
  </si>
  <si>
    <t>Art. 72</t>
  </si>
  <si>
    <t>Cl. 9.1; A.6.2.6</t>
  </si>
  <si>
    <t>Monitoring plan, KPI reports</t>
  </si>
  <si>
    <t>R16</t>
  </si>
  <si>
    <t>Incident reporting</t>
  </si>
  <si>
    <t>Serious incident reporting procedure</t>
  </si>
  <si>
    <t>Art. 73</t>
  </si>
  <si>
    <t>MANAGE 4.3</t>
  </si>
  <si>
    <t>A.8.4; Cl. 10.2</t>
  </si>
  <si>
    <t>High-Risk; GPAI-SR</t>
  </si>
  <si>
    <t>Incident playbook, log</t>
  </si>
  <si>
    <t>R17</t>
  </si>
  <si>
    <t>Transparency to users</t>
  </si>
  <si>
    <t>Disclose AI interaction; mark synthetic content; inform on emotion recognition</t>
  </si>
  <si>
    <t>A.8.5; A.8.2</t>
  </si>
  <si>
    <t>Limited</t>
  </si>
  <si>
    <t>UI disclosure screenshots, marking config</t>
  </si>
  <si>
    <t>R18</t>
  </si>
  <si>
    <t>Third-party AI</t>
  </si>
  <si>
    <t>Supply-chain AI risk: supplier documentation, contracts, responsibilities</t>
  </si>
  <si>
    <t>Art. 25</t>
  </si>
  <si>
    <t>GOVERN 6.1, MAP 4.1</t>
  </si>
  <si>
    <t>A.10.2, A.10.3</t>
  </si>
  <si>
    <t>High-Risk; Limited (vendor)</t>
  </si>
  <si>
    <t>Vendor assessment, contract clauses</t>
  </si>
  <si>
    <t>R19</t>
  </si>
  <si>
    <t>AI literacy</t>
  </si>
  <si>
    <t>AI literacy / role-based training</t>
  </si>
  <si>
    <t>Art. 4 (verify wording post-Omnibus)</t>
  </si>
  <si>
    <t>GOVERN 2.2</t>
  </si>
  <si>
    <t>Cl. 7.2, 7.3; A.4.6</t>
  </si>
  <si>
    <t>Training records</t>
  </si>
  <si>
    <t>R20</t>
  </si>
  <si>
    <t>Deployer duties</t>
  </si>
  <si>
    <t>Use per instructions, monitor operation, retain logs, inform workers</t>
  </si>
  <si>
    <t>Art. 26</t>
  </si>
  <si>
    <t>A.9.2; A.9.4</t>
  </si>
  <si>
    <t>High-Risk (deployers)</t>
  </si>
  <si>
    <t>Usage procedure, log retention</t>
  </si>
  <si>
    <t>R21</t>
  </si>
  <si>
    <t>GPAI documentation</t>
  </si>
  <si>
    <t>GPAI technical documentation, copyright policy, training-content summary</t>
  </si>
  <si>
    <t>Art. 53</t>
  </si>
  <si>
    <t>MAP 4.1</t>
  </si>
  <si>
    <t>A.6.2.7; A.7.5</t>
  </si>
  <si>
    <t>Documentation package</t>
  </si>
  <si>
    <t>R22</t>
  </si>
  <si>
    <t>GPAI systemic risk</t>
  </si>
  <si>
    <t>Model evaluation, adversarial testing, systemic-risk assessment/mitigation</t>
  </si>
  <si>
    <t>Art. 55</t>
  </si>
  <si>
    <t>MEASURE 2.7</t>
  </si>
  <si>
    <t>GPAI-SR</t>
  </si>
  <si>
    <t>Evaluation reports</t>
  </si>
  <si>
    <t>R23</t>
  </si>
  <si>
    <t>Prohibited practice screening</t>
  </si>
  <si>
    <t>Screen for Art.5 practices; stop, escalate and decommission if found</t>
  </si>
  <si>
    <t>Art. 5</t>
  </si>
  <si>
    <t>Cl. 4.2; A.9.3</t>
  </si>
  <si>
    <t>Prohibited; All tiers (screen)</t>
  </si>
  <si>
    <t>Legal determination, stop record</t>
  </si>
  <si>
    <t>R24</t>
  </si>
  <si>
    <t>Continual improvement</t>
  </si>
  <si>
    <t>Corrective action and lessons-learned loop</t>
  </si>
  <si>
    <t>MANAGE 4.2</t>
  </si>
  <si>
    <t>Cl. 10.1, 10.2</t>
  </si>
  <si>
    <t>High-Risk; Limited; T1</t>
  </si>
  <si>
    <t>Corrective action log</t>
  </si>
  <si>
    <t>Configuration &amp; Assumptions (editable)</t>
  </si>
  <si>
    <t>Yellow cells drive formulas across the workbook. Values are illustrative.</t>
  </si>
  <si>
    <t>Parameter</t>
  </si>
  <si>
    <t>Note</t>
  </si>
  <si>
    <t>As-of date (used for status / overdue)</t>
  </si>
  <si>
    <t>Fixed to avoid volatile TODAY(); update per reporting run</t>
  </si>
  <si>
    <t>GPAI systemic-risk compute threshold (FLOP)</t>
  </si>
  <si>
    <t>Art. 51(2) presumption: 10^25 FLOP</t>
  </si>
  <si>
    <t>Weight – Impact severity</t>
  </si>
  <si>
    <t>Assumption</t>
  </si>
  <si>
    <t>Weight – Data sensitivity</t>
  </si>
  <si>
    <t>Weight – Scale of affected persons</t>
  </si>
  <si>
    <t>Weight – Autonomy</t>
  </si>
  <si>
    <t>Score ≥ this → T1 Critical</t>
  </si>
  <si>
    <t>Score ≥ this → T2 Elevated</t>
  </si>
  <si>
    <t>Agent confidence threshold for fast-track review</t>
  </si>
  <si>
    <t>Compliance credit for 'Partially Implemented'</t>
  </si>
  <si>
    <t>Assumption: Implemented = 1, Not Implemented/Not Assessed = 0</t>
  </si>
  <si>
    <t>Check: weights sum to 1.0</t>
  </si>
  <si>
    <t>EU tier → severity rank (0 = most severe)</t>
  </si>
  <si>
    <t>Rank</t>
  </si>
  <si>
    <t>Always T0</t>
  </si>
  <si>
    <t>Internal score may still raise tier</t>
  </si>
  <si>
    <t>Internal tiers</t>
  </si>
  <si>
    <t>Description</t>
  </si>
  <si>
    <t>T0 - Stop</t>
  </si>
  <si>
    <t>Prohibited practice: cease/withdraw; Legal-led</t>
  </si>
  <si>
    <t>T1 - Critical</t>
  </si>
  <si>
    <t>High-risk or systemic; full assessment, two reviewers, quarterly review</t>
  </si>
  <si>
    <t>T2 - Elevated</t>
  </si>
  <si>
    <t>Limited/GPAI or elevated internal score; targeted assessment, annual review</t>
  </si>
  <si>
    <t>T3 - Standard</t>
  </si>
  <si>
    <t>Minimal risk; baseline governance, annual attestation</t>
  </si>
  <si>
    <t>All data synthetic. Blue = input. Y/N flags drive Syn_Tiering rules; scores 1–5 drive the contextual overlay.</t>
  </si>
  <si>
    <t>System ID</t>
  </si>
  <si>
    <t>System Name</t>
  </si>
  <si>
    <t>System Owner</t>
  </si>
  <si>
    <t>Org Role</t>
  </si>
  <si>
    <t>Sourcing</t>
  </si>
  <si>
    <t>Model Type</t>
  </si>
  <si>
    <t>Lifecycle Stage</t>
  </si>
  <si>
    <t>EU Nexus (Y/N)</t>
  </si>
  <si>
    <t>Art.5 Flag (Y/N)</t>
  </si>
  <si>
    <t>Annex I Safety Component (Y/N)</t>
  </si>
  <si>
    <t>Profiling of Persons (Y/N)</t>
  </si>
  <si>
    <t>Art.6(3) Derogation Claimed (Y/N)</t>
  </si>
  <si>
    <t>Interacts with Persons (Y/N)</t>
  </si>
  <si>
    <t>Generates Synthetic Content (Y/N)</t>
  </si>
  <si>
    <t>Emotion Recog. / Biometric Categorisation (Y/N)</t>
  </si>
  <si>
    <t>GPAI Model Provided (Y/N)</t>
  </si>
  <si>
    <t>Impact Severity (1-5)</t>
  </si>
  <si>
    <t>Data Sensitivity (1-5)</t>
  </si>
  <si>
    <t>Scale of Affected Persons (1-5)</t>
  </si>
  <si>
    <t>Autonomy (1-5)</t>
  </si>
  <si>
    <t>Human Oversight</t>
  </si>
  <si>
    <t>Discovery Source</t>
  </si>
  <si>
    <t>Intake Completeness</t>
  </si>
  <si>
    <t>AI-001</t>
  </si>
  <si>
    <t>CV Screening Assistant</t>
  </si>
  <si>
    <t>Ranks and filters job applicants using résumé text</t>
  </si>
  <si>
    <t>A. Novak</t>
  </si>
  <si>
    <t>Deployer</t>
  </si>
  <si>
    <t>ML ranking</t>
  </si>
  <si>
    <t>Production</t>
  </si>
  <si>
    <t>Y</t>
  </si>
  <si>
    <t>N</t>
  </si>
  <si>
    <t>Employment</t>
  </si>
  <si>
    <t>Partial</t>
  </si>
  <si>
    <t>Self-declared</t>
  </si>
  <si>
    <t>AI-002</t>
  </si>
  <si>
    <t>Retail Credit Scoring Model</t>
  </si>
  <si>
    <t>Scores creditworthiness of retail loan applicants</t>
  </si>
  <si>
    <t>B. Ferrari</t>
  </si>
  <si>
    <t>Provider</t>
  </si>
  <si>
    <t>In-house</t>
  </si>
  <si>
    <t>Gradient boosting</t>
  </si>
  <si>
    <t>Essential services</t>
  </si>
  <si>
    <t>AI-003</t>
  </si>
  <si>
    <t>Aria Customer Service Chatbot</t>
  </si>
  <si>
    <t>LLM assistant answering customer questions in app and web</t>
  </si>
  <si>
    <t>C. Lindqvist</t>
  </si>
  <si>
    <t>Vendor + RAG</t>
  </si>
  <si>
    <t>LLM (vendor GPAI)</t>
  </si>
  <si>
    <t>None</t>
  </si>
  <si>
    <t>AI-004</t>
  </si>
  <si>
    <t>Card Fraud Detection Engine</t>
  </si>
  <si>
    <t>Real-time card transaction fraud scoring</t>
  </si>
  <si>
    <t>D. Okoye</t>
  </si>
  <si>
    <t>ML ensemble</t>
  </si>
  <si>
    <t>AI-005</t>
  </si>
  <si>
    <t>Marketing Copy Generator</t>
  </si>
  <si>
    <t>Generates campaign copy and imagery drafts</t>
  </si>
  <si>
    <t>E. Silva</t>
  </si>
  <si>
    <t>GenAI (text/image)</t>
  </si>
  <si>
    <t>Full</t>
  </si>
  <si>
    <t>Procurement review</t>
  </si>
  <si>
    <t>AI-006</t>
  </si>
  <si>
    <t>Employee Performance Analytics</t>
  </si>
  <si>
    <t>Scores employee performance from work activity data</t>
  </si>
  <si>
    <t>ML scoring</t>
  </si>
  <si>
    <t>AI-007</t>
  </si>
  <si>
    <t>Life Insurance Pricing Model</t>
  </si>
  <si>
    <t>Risk assessment and pricing for life insurance applicants</t>
  </si>
  <si>
    <t>F. Haddad</t>
  </si>
  <si>
    <t>GLM + ML</t>
  </si>
  <si>
    <t>AI-008</t>
  </si>
  <si>
    <t>Claims Triage NLP</t>
  </si>
  <si>
    <t>Classifies and routes property claims by urgency</t>
  </si>
  <si>
    <t>NLP classifier</t>
  </si>
  <si>
    <t>AI-009</t>
  </si>
  <si>
    <t>Call-Centre Emotion Analytics</t>
  </si>
  <si>
    <t>Infers agent and caller emotion from voice to coach agents</t>
  </si>
  <si>
    <t>G. Kim</t>
  </si>
  <si>
    <t>Speech ML</t>
  </si>
  <si>
    <t>AI-010</t>
  </si>
  <si>
    <t>Store Camera Demographic Analytics (pilot)</t>
  </si>
  <si>
    <t>Camera analytics inferring customer demographics incl. ethnicity</t>
  </si>
  <si>
    <t>Computer vision</t>
  </si>
  <si>
    <t>Pilot</t>
  </si>
  <si>
    <t>Shadow-AI scan</t>
  </si>
  <si>
    <t>AI-011</t>
  </si>
  <si>
    <t>Voice Cloning IVR</t>
  </si>
  <si>
    <t>Synthetic branded voice for IVR prompts</t>
  </si>
  <si>
    <t>TTS / voice synthesis</t>
  </si>
  <si>
    <t>AI-012</t>
  </si>
  <si>
    <t>Internal Knowledge Assistant</t>
  </si>
  <si>
    <t>Employee Q&amp;A over internal documents (RAG on vendor GPAI)</t>
  </si>
  <si>
    <t>H. Petrov</t>
  </si>
  <si>
    <t>AI-013</t>
  </si>
  <si>
    <t>NorthLM-70B Foundation Model</t>
  </si>
  <si>
    <t>In-house general-purpose language model for group use</t>
  </si>
  <si>
    <t>LLM (GPAI)</t>
  </si>
  <si>
    <t>Development</t>
  </si>
  <si>
    <t>AI-014</t>
  </si>
  <si>
    <t>Developer Code Assistant</t>
  </si>
  <si>
    <t>Code completion for engineers</t>
  </si>
  <si>
    <t>LLM</t>
  </si>
  <si>
    <t>AI-015</t>
  </si>
  <si>
    <t>Trading Anomaly Detection</t>
  </si>
  <si>
    <t>Detects abnormal trading patterns for surveillance</t>
  </si>
  <si>
    <t>I. Tanaka</t>
  </si>
  <si>
    <t>ML anomaly detection</t>
  </si>
  <si>
    <t>AI-016</t>
  </si>
  <si>
    <t>APAC Branch Credit Pre-Screen (Singapore only)</t>
  </si>
  <si>
    <t>Pre-screens SME loan leads for Singapore branch</t>
  </si>
  <si>
    <t>AI-017</t>
  </si>
  <si>
    <t>Loan Document OCR &amp; Extraction</t>
  </si>
  <si>
    <t>Extracts fields from loan application documents</t>
  </si>
  <si>
    <t>OCR / CV</t>
  </si>
  <si>
    <t>AI-018</t>
  </si>
  <si>
    <t>Shift Scheduling Optimiser</t>
  </si>
  <si>
    <t>Allocates shifts and tasks to branch and call-centre staff</t>
  </si>
  <si>
    <t>Optimisation</t>
  </si>
  <si>
    <t>AI-019</t>
  </si>
  <si>
    <t>Facility Energy Optimiser</t>
  </si>
  <si>
    <t>Optimises building HVAC energy use</t>
  </si>
  <si>
    <t>Reinforcement learning</t>
  </si>
  <si>
    <t>AI-020</t>
  </si>
  <si>
    <t>Graduate Programme Admissions Ranker</t>
  </si>
  <si>
    <t>Ranks graduate programme candidates for shortlisting</t>
  </si>
  <si>
    <t>Education</t>
  </si>
  <si>
    <t>AI-021</t>
  </si>
  <si>
    <t>Synthetic Training Video Generator</t>
  </si>
  <si>
    <t>Creates avatar-based compliance training videos</t>
  </si>
  <si>
    <t>GenAI (video)</t>
  </si>
  <si>
    <t>AI-022</t>
  </si>
  <si>
    <t>AML Transaction Monitoring</t>
  </si>
  <si>
    <t>Flags suspicious transactions for AML review</t>
  </si>
  <si>
    <t>J. Moreau</t>
  </si>
  <si>
    <t>In-house + vendor</t>
  </si>
  <si>
    <t>ML / rules hybrid</t>
  </si>
  <si>
    <t>AI-023</t>
  </si>
  <si>
    <t>Voice Biometric Authentication</t>
  </si>
  <si>
    <t>Verifies caller identity by voiceprint (verification only)</t>
  </si>
  <si>
    <t>Speaker verification</t>
  </si>
  <si>
    <t>AI-024</t>
  </si>
  <si>
    <t>Robo-Advisor Chat</t>
  </si>
  <si>
    <t>Conversational investment guidance for retail clients</t>
  </si>
  <si>
    <t>LLM + rules</t>
  </si>
  <si>
    <t>AI-025</t>
  </si>
  <si>
    <t>Customer Churn Predictor</t>
  </si>
  <si>
    <t>Predicts customer attrition for retention campaigns</t>
  </si>
  <si>
    <t>ML classifier</t>
  </si>
  <si>
    <t>AI-026</t>
  </si>
  <si>
    <t>Credit Limit Increase Recommender</t>
  </si>
  <si>
    <t>Recommends credit limit changes for existing customers</t>
  </si>
  <si>
    <t>AI-027</t>
  </si>
  <si>
    <t>Health Underwriting Assistant</t>
  </si>
  <si>
    <t>Supports underwriters assessing health insurance applicants</t>
  </si>
  <si>
    <t>ML + LLM</t>
  </si>
  <si>
    <t>AI-028</t>
  </si>
  <si>
    <t>Video Interview Analyser</t>
  </si>
  <si>
    <t>Analyses candidate video interviews (tone, expressions) to score fit</t>
  </si>
  <si>
    <t>Video/speech ML</t>
  </si>
  <si>
    <t>AI-029</t>
  </si>
  <si>
    <t>Test Data Synthesiser</t>
  </si>
  <si>
    <t>Generates synthetic tabular test data</t>
  </si>
  <si>
    <t>Generative model</t>
  </si>
  <si>
    <t>AI-030</t>
  </si>
  <si>
    <t>HR Policy Chatbot (pilot)</t>
  </si>
  <si>
    <t>Answers employee HR policy questions</t>
  </si>
  <si>
    <t>Risk Tiering Results – Rules Engine vs Agent vs SME</t>
  </si>
  <si>
    <t>Black = formulas (rules engine per Tiering_Rules). Blue = synthetic agent output and SME decisions. Disagreements are intentional to show HITL value.</t>
  </si>
  <si>
    <t>Rules-Engine EU Tier (formula)</t>
  </si>
  <si>
    <t>Art.50 Transparency Duty</t>
  </si>
  <si>
    <t>Contextual Score (1–5)</t>
  </si>
  <si>
    <t>Internal Tier (rules-based)</t>
  </si>
  <si>
    <t>Agent-Suggested EU Tier</t>
  </si>
  <si>
    <t>Agent Confidence</t>
  </si>
  <si>
    <t>Agent Rationale</t>
  </si>
  <si>
    <t>SME-Validated EU Tier</t>
  </si>
  <si>
    <t>SME Reviewer</t>
  </si>
  <si>
    <t>Review Date</t>
  </si>
  <si>
    <t>Agent = SME?</t>
  </si>
  <si>
    <t>Rules = SME?</t>
  </si>
  <si>
    <t>Override / Decision Note</t>
  </si>
  <si>
    <t>Review Route</t>
  </si>
  <si>
    <t>Final Validated Internal Tier</t>
  </si>
  <si>
    <t>Use case falls in Annex III domain; profiling or no valid Art.6(3) derogation → high-risk per Art.6(2).</t>
  </si>
  <si>
    <t>Priya Nair (AI Governance)</t>
  </si>
  <si>
    <t>Direct interaction with persons and/or synthetic content generation → Art.50 transparency duties; no Annex III domain.</t>
  </si>
  <si>
    <t>L. Okafor (Model Risk)</t>
  </si>
  <si>
    <t>No Art.5/Annex III/Art.50 triggers identified; internal governance only.</t>
  </si>
  <si>
    <t>Analytics on employees; no explicit Annex III trigger detected in description.</t>
  </si>
  <si>
    <t>Annex III(4)(c)/(d) performance monitoring with profiling → high-risk; agent under-classified.</t>
  </si>
  <si>
    <t>Marcus Cole (Legal)</t>
  </si>
  <si>
    <t>Art.5 practice indicators present (see description); prohibited use → stop and escalate to Legal.</t>
  </si>
  <si>
    <t>General-purpose model provided; compute below systemic-risk threshold (Art.51(2)).</t>
  </si>
  <si>
    <t>No EU nexus declared; apply internal tiering only.</t>
  </si>
  <si>
    <t>Essential-services domain (credit-related); conservative view that derogation may not hold. Requires reviewer challenge of Art.6(3)(a) claim.</t>
  </si>
  <si>
    <t>Art.6(3)(a) narrow procedural task accepted; assessment documented and retained.</t>
  </si>
  <si>
    <t>Financial advice to retail clients may relate to creditworthiness/essential services; low confidence.</t>
  </si>
  <si>
    <t>Investment guidance is not creditworthiness scoring; Art.50 chatbot duties apply.</t>
  </si>
  <si>
    <t>Description indicates inference of candidate emotions/expressions in recruitment → likely Art.5(1)(f) emotion recognition in workplace; intake flag was N. Escalate to Legal.</t>
  </si>
  <si>
    <t>Legal: emotion inference on candidates during recruitment treated as within Art.5(1)(f); pilot suspended.</t>
  </si>
  <si>
    <t>Synthetic Requirement-Level Gap Assessment</t>
  </si>
  <si>
    <t>Requirement lookups (black) pull from Framework_Map; status/evidence/confidence are synthetic (blue). Compliance credit uses Config partial-credit weight.</t>
  </si>
  <si>
    <t>Gap ID</t>
  </si>
  <si>
    <t>Final Internal Tier</t>
  </si>
  <si>
    <t>EU AI Act Ref</t>
  </si>
  <si>
    <t>NIST AI RMF Ref</t>
  </si>
  <si>
    <t>ISO 42001 Ref</t>
  </si>
  <si>
    <t>Assessment Status</t>
  </si>
  <si>
    <t>Evidence Ref</t>
  </si>
  <si>
    <t>Assessed By</t>
  </si>
  <si>
    <t>Compliance Credit</t>
  </si>
  <si>
    <t>Last Assessed</t>
  </si>
  <si>
    <t>Agent Comment</t>
  </si>
  <si>
    <t>GAP-001</t>
  </si>
  <si>
    <t>Gap Agent (pending review)</t>
  </si>
  <si>
    <t>No evidence located; owner notified.</t>
  </si>
  <si>
    <t>GAP-002</t>
  </si>
  <si>
    <t>Gap Agent + human review</t>
  </si>
  <si>
    <t>GAP-003</t>
  </si>
  <si>
    <t>EV-001-R05</t>
  </si>
  <si>
    <t>Gap: evidence older than 12 months.</t>
  </si>
  <si>
    <t>GAP-004</t>
  </si>
  <si>
    <t>EV-001-R07</t>
  </si>
  <si>
    <t>Evidence sufficient and current.</t>
  </si>
  <si>
    <t>GAP-005</t>
  </si>
  <si>
    <t>EV-001-R13</t>
  </si>
  <si>
    <t>Gap: vendor documentation incomplete.</t>
  </si>
  <si>
    <t>GAP-006</t>
  </si>
  <si>
    <t>GAP-007</t>
  </si>
  <si>
    <t>EV-001-R16</t>
  </si>
  <si>
    <t>GAP-008</t>
  </si>
  <si>
    <t>EV-001-R20</t>
  </si>
  <si>
    <t>GAP-009</t>
  </si>
  <si>
    <t>EV-002-R03</t>
  </si>
  <si>
    <t>GAP-010</t>
  </si>
  <si>
    <t>EV-002-R04</t>
  </si>
  <si>
    <t>Gap: covers only part of scope.</t>
  </si>
  <si>
    <t>GAP-011</t>
  </si>
  <si>
    <t>EV-002-R06</t>
  </si>
  <si>
    <t>GAP-012</t>
  </si>
  <si>
    <t>EV-002-R07</t>
  </si>
  <si>
    <t>GAP-013</t>
  </si>
  <si>
    <t>EV-002-R10</t>
  </si>
  <si>
    <t>GAP-014</t>
  </si>
  <si>
    <t>EV-002-R13</t>
  </si>
  <si>
    <t>GAP-015</t>
  </si>
  <si>
    <t>GAP-016</t>
  </si>
  <si>
    <t>Awaiting owner evidence submission.</t>
  </si>
  <si>
    <t>GAP-017</t>
  </si>
  <si>
    <t>EV-003-R01</t>
  </si>
  <si>
    <t>GAP-018</t>
  </si>
  <si>
    <t>EV-003-R02</t>
  </si>
  <si>
    <t>GAP-019</t>
  </si>
  <si>
    <t>GAP-020</t>
  </si>
  <si>
    <t>EV-003-R24</t>
  </si>
  <si>
    <t>GAP-021</t>
  </si>
  <si>
    <t>EV-004-R01</t>
  </si>
  <si>
    <t>GAP-022</t>
  </si>
  <si>
    <t>EV-004-R19</t>
  </si>
  <si>
    <t>GAP-023</t>
  </si>
  <si>
    <t>EV-005-R01</t>
  </si>
  <si>
    <t>GAP-024</t>
  </si>
  <si>
    <t>EV-005-R18</t>
  </si>
  <si>
    <t>GAP-025</t>
  </si>
  <si>
    <t>EV-005-R19</t>
  </si>
  <si>
    <t>GAP-026</t>
  </si>
  <si>
    <t>GAP-027</t>
  </si>
  <si>
    <t>GAP-028</t>
  </si>
  <si>
    <t>GAP-029</t>
  </si>
  <si>
    <t>GAP-030</t>
  </si>
  <si>
    <t>EV-006-R07</t>
  </si>
  <si>
    <t>GAP-031</t>
  </si>
  <si>
    <t>EV-006-R08</t>
  </si>
  <si>
    <t>GAP-032</t>
  </si>
  <si>
    <t>EV-006-R14</t>
  </si>
  <si>
    <t>GAP-033</t>
  </si>
  <si>
    <t>EV-006-R16</t>
  </si>
  <si>
    <t>Gap: owner attestation missing.</t>
  </si>
  <si>
    <t>GAP-034</t>
  </si>
  <si>
    <t>GAP-035</t>
  </si>
  <si>
    <t>GAP-036</t>
  </si>
  <si>
    <t>GAP-037</t>
  </si>
  <si>
    <t>EV-007-R05</t>
  </si>
  <si>
    <t>Gap: procedure exists but not approved.</t>
  </si>
  <si>
    <t>GAP-038</t>
  </si>
  <si>
    <t>EV-007-R11</t>
  </si>
  <si>
    <t>GAP-039</t>
  </si>
  <si>
    <t>GAP-040</t>
  </si>
  <si>
    <t>GAP-041</t>
  </si>
  <si>
    <t>GAP-042</t>
  </si>
  <si>
    <t>EV-007-R24</t>
  </si>
  <si>
    <t>GAP-043</t>
  </si>
  <si>
    <t>EV-008-R01</t>
  </si>
  <si>
    <t>GAP-044</t>
  </si>
  <si>
    <t>EV-008-R19</t>
  </si>
  <si>
    <t>GAP-045</t>
  </si>
  <si>
    <t>GAP-046</t>
  </si>
  <si>
    <t>EV-009-R01</t>
  </si>
  <si>
    <t>GAP-047</t>
  </si>
  <si>
    <t>EV-010-R23</t>
  </si>
  <si>
    <t>GAP-048</t>
  </si>
  <si>
    <t>EV-010-R01</t>
  </si>
  <si>
    <t>GAP-049</t>
  </si>
  <si>
    <t>EV-011-R01</t>
  </si>
  <si>
    <t>GAP-050</t>
  </si>
  <si>
    <t>EV-011-R02</t>
  </si>
  <si>
    <t>GAP-051</t>
  </si>
  <si>
    <t>EV-011-R17</t>
  </si>
  <si>
    <t>GAP-052</t>
  </si>
  <si>
    <t>GAP-053</t>
  </si>
  <si>
    <t>GAP-054</t>
  </si>
  <si>
    <t>GAP-055</t>
  </si>
  <si>
    <t>EV-012-R19</t>
  </si>
  <si>
    <t>GAP-056</t>
  </si>
  <si>
    <t>EV-012-R24</t>
  </si>
  <si>
    <t>GAP-057</t>
  </si>
  <si>
    <t>GAP-058</t>
  </si>
  <si>
    <t>EV-013-R18</t>
  </si>
  <si>
    <t>GAP-059</t>
  </si>
  <si>
    <t>EV-013-R19</t>
  </si>
  <si>
    <t>GAP-060</t>
  </si>
  <si>
    <t>EV-013-R21</t>
  </si>
  <si>
    <t>GAP-061</t>
  </si>
  <si>
    <t>EV-014-R01</t>
  </si>
  <si>
    <t>GAP-062</t>
  </si>
  <si>
    <t>EV-014-R19</t>
  </si>
  <si>
    <t>GAP-063</t>
  </si>
  <si>
    <t>EV-015-R01</t>
  </si>
  <si>
    <t>GAP-064</t>
  </si>
  <si>
    <t>EV-015-R19</t>
  </si>
  <si>
    <t>GAP-065</t>
  </si>
  <si>
    <t>EV-016-R02</t>
  </si>
  <si>
    <t>GAP-066</t>
  </si>
  <si>
    <t>GAP-067</t>
  </si>
  <si>
    <t>EV-016-R09</t>
  </si>
  <si>
    <t>GAP-068</t>
  </si>
  <si>
    <t>EV-016-R19</t>
  </si>
  <si>
    <t>GAP-069</t>
  </si>
  <si>
    <t>EV-017-R01</t>
  </si>
  <si>
    <t>GAP-070</t>
  </si>
  <si>
    <t>EV-017-R19</t>
  </si>
  <si>
    <t>GAP-071</t>
  </si>
  <si>
    <t>EV-018-R03</t>
  </si>
  <si>
    <t>GAP-072</t>
  </si>
  <si>
    <t>GAP-073</t>
  </si>
  <si>
    <t>GAP-074</t>
  </si>
  <si>
    <t>GAP-075</t>
  </si>
  <si>
    <t>EV-018-R11</t>
  </si>
  <si>
    <t>GAP-076</t>
  </si>
  <si>
    <t>EV-018-R13</t>
  </si>
  <si>
    <t>GAP-077</t>
  </si>
  <si>
    <t>EV-018-R15</t>
  </si>
  <si>
    <t>GAP-078</t>
  </si>
  <si>
    <t>EV-018-R18</t>
  </si>
  <si>
    <t>GAP-079</t>
  </si>
  <si>
    <t>GAP-080</t>
  </si>
  <si>
    <t>GAP-081</t>
  </si>
  <si>
    <t>EV-020-R02</t>
  </si>
  <si>
    <t>GAP-082</t>
  </si>
  <si>
    <t>EV-020-R08</t>
  </si>
  <si>
    <t>GAP-083</t>
  </si>
  <si>
    <t>EV-020-R09</t>
  </si>
  <si>
    <t>GAP-084</t>
  </si>
  <si>
    <t>EV-020-R12</t>
  </si>
  <si>
    <t>GAP-085</t>
  </si>
  <si>
    <t>EV-020-R16</t>
  </si>
  <si>
    <t>GAP-086</t>
  </si>
  <si>
    <t>EV-020-R18</t>
  </si>
  <si>
    <t>GAP-087</t>
  </si>
  <si>
    <t>EV-020-R20</t>
  </si>
  <si>
    <t>GAP-088</t>
  </si>
  <si>
    <t>EV-020-R24</t>
  </si>
  <si>
    <t>GAP-089</t>
  </si>
  <si>
    <t>GAP-090</t>
  </si>
  <si>
    <t>EV-021-R17</t>
  </si>
  <si>
    <t>GAP-091</t>
  </si>
  <si>
    <t>GAP-092</t>
  </si>
  <si>
    <t>EV-021-R19</t>
  </si>
  <si>
    <t>GAP-093</t>
  </si>
  <si>
    <t>EV-022-R01</t>
  </si>
  <si>
    <t>GAP-094</t>
  </si>
  <si>
    <t>EV-022-R02</t>
  </si>
  <si>
    <t>GAP-095</t>
  </si>
  <si>
    <t>EV-022-R03</t>
  </si>
  <si>
    <t>GAP-096</t>
  </si>
  <si>
    <t>EV-022-R09</t>
  </si>
  <si>
    <t>GAP-097</t>
  </si>
  <si>
    <t>EV-023-R01</t>
  </si>
  <si>
    <t>GAP-098</t>
  </si>
  <si>
    <t>EV-023-R03</t>
  </si>
  <si>
    <t>GAP-099</t>
  </si>
  <si>
    <t>GAP-100</t>
  </si>
  <si>
    <t>EV-023-R19</t>
  </si>
  <si>
    <t>GAP-101</t>
  </si>
  <si>
    <t>EV-024-R01</t>
  </si>
  <si>
    <t>GAP-102</t>
  </si>
  <si>
    <t>EV-024-R02</t>
  </si>
  <si>
    <t>GAP-103</t>
  </si>
  <si>
    <t>GAP-104</t>
  </si>
  <si>
    <t>EV-024-R24</t>
  </si>
  <si>
    <t>GAP-105</t>
  </si>
  <si>
    <t>GAP-106</t>
  </si>
  <si>
    <t>GAP-107</t>
  </si>
  <si>
    <t>GAP-108</t>
  </si>
  <si>
    <t>EV-026-R06</t>
  </si>
  <si>
    <t>GAP-109</t>
  </si>
  <si>
    <t>EV-026-R08</t>
  </si>
  <si>
    <t>GAP-110</t>
  </si>
  <si>
    <t>EV-026-R09</t>
  </si>
  <si>
    <t>GAP-111</t>
  </si>
  <si>
    <t>GAP-112</t>
  </si>
  <si>
    <t>EV-026-R15</t>
  </si>
  <si>
    <t>GAP-113</t>
  </si>
  <si>
    <t>EV-026-R19</t>
  </si>
  <si>
    <t>GAP-114</t>
  </si>
  <si>
    <t>EV-026-R20</t>
  </si>
  <si>
    <t>GAP-115</t>
  </si>
  <si>
    <t>EV-027-R04</t>
  </si>
  <si>
    <t>GAP-116</t>
  </si>
  <si>
    <t>EV-027-R06</t>
  </si>
  <si>
    <t>GAP-117</t>
  </si>
  <si>
    <t>EV-027-R07</t>
  </si>
  <si>
    <t>GAP-118</t>
  </si>
  <si>
    <t>EV-027-R11</t>
  </si>
  <si>
    <t>GAP-119</t>
  </si>
  <si>
    <t>GAP-120</t>
  </si>
  <si>
    <t>EV-027-R15</t>
  </si>
  <si>
    <t>GAP-121</t>
  </si>
  <si>
    <t>EV-027-R18</t>
  </si>
  <si>
    <t>GAP-122</t>
  </si>
  <si>
    <t>EV-027-R24</t>
  </si>
  <si>
    <t>GAP-123</t>
  </si>
  <si>
    <t>EV-028-R23</t>
  </si>
  <si>
    <t>GAP-124</t>
  </si>
  <si>
    <t>GAP-125</t>
  </si>
  <si>
    <t>EV-029-R01</t>
  </si>
  <si>
    <t>GAP-126</t>
  </si>
  <si>
    <t>EV-029-R19</t>
  </si>
  <si>
    <t>GAP-127</t>
  </si>
  <si>
    <t>GAP-128</t>
  </si>
  <si>
    <t>EV-030-R17</t>
  </si>
  <si>
    <t>GAP-129</t>
  </si>
  <si>
    <t>EV-030-R18</t>
  </si>
  <si>
    <t>GAP-130</t>
  </si>
  <si>
    <t>EV-030-R24</t>
  </si>
  <si>
    <t>Synthetic Remediation Plan (Remediation Planning Agent output)</t>
  </si>
  <si>
    <t>Priority, SLA and due date are formulas driven by tier (Tier_Obligations) and as-of date (Config). Owner roles, dates and status are synthetic.</t>
  </si>
  <si>
    <t>Action ID</t>
  </si>
  <si>
    <t>Gap Type</t>
  </si>
  <si>
    <t>Recommended Action (Agent)</t>
  </si>
  <si>
    <t>Action Owner (Role)</t>
  </si>
  <si>
    <t>Target Days (SLA)</t>
  </si>
  <si>
    <t>Start Date</t>
  </si>
  <si>
    <t>Due Date</t>
  </si>
  <si>
    <t>Status</t>
  </si>
  <si>
    <t>Overdue?</t>
  </si>
  <si>
    <t>Plan Origin</t>
  </si>
  <si>
    <t>Effort</t>
  </si>
  <si>
    <t>ACT-001</t>
  </si>
  <si>
    <t>No control / not implemented</t>
  </si>
  <si>
    <t>Establish lifecycle risk management procedure and risk register for the system</t>
  </si>
  <si>
    <t>Model Risk</t>
  </si>
  <si>
    <t>In Progress</t>
  </si>
  <si>
    <t>Agent – accepted unedited</t>
  </si>
  <si>
    <t>L</t>
  </si>
  <si>
    <t>ACT-002</t>
  </si>
  <si>
    <t>Document dataset provenance, quality checks and bias examination</t>
  </si>
  <si>
    <t>Data Steward</t>
  </si>
  <si>
    <t>Closed</t>
  </si>
  <si>
    <t>ACT-003</t>
  </si>
  <si>
    <t>Partial implementation</t>
  </si>
  <si>
    <t>Compile technical documentation (design, training, testing, limitations)</t>
  </si>
  <si>
    <t>M</t>
  </si>
  <si>
    <t>ACT-004</t>
  </si>
  <si>
    <t>Implement post-deployment monitoring plan with drift and performance KPIs</t>
  </si>
  <si>
    <t>ML Ops</t>
  </si>
  <si>
    <t>ACT-005</t>
  </si>
  <si>
    <t>Not Started</t>
  </si>
  <si>
    <t>ACT-006</t>
  </si>
  <si>
    <t>Produce instructions for use and transparency information for deployers</t>
  </si>
  <si>
    <t>S</t>
  </si>
  <si>
    <t>ACT-007</t>
  </si>
  <si>
    <t>Obtain supplier documentation and AI contract clauses; complete vendor assessment</t>
  </si>
  <si>
    <t>Procurement / TPRM</t>
  </si>
  <si>
    <t>ACT-008</t>
  </si>
  <si>
    <t>Agent – edited by owner</t>
  </si>
  <si>
    <t>ACT-009</t>
  </si>
  <si>
    <t>Establish corrective-action process and lessons-learned loop</t>
  </si>
  <si>
    <t>AI Governance</t>
  </si>
  <si>
    <t>Pending Validation</t>
  </si>
  <si>
    <t>ACT-010</t>
  </si>
  <si>
    <t>ACT-011</t>
  </si>
  <si>
    <t>ACT-012</t>
  </si>
  <si>
    <t>Enable automatic event logging and define retention period</t>
  </si>
  <si>
    <t>Engineering Lead</t>
  </si>
  <si>
    <t>ACT-013</t>
  </si>
  <si>
    <t>Define serious-incident reporting playbook and authority contact points</t>
  </si>
  <si>
    <t>Legal &amp; Incident Mgmt</t>
  </si>
  <si>
    <t>ACT-014</t>
  </si>
  <si>
    <t>ACT-015</t>
  </si>
  <si>
    <t>ACT-016</t>
  </si>
  <si>
    <t>Prepare registration entry for EU database</t>
  </si>
  <si>
    <t>Legal &amp; Compliance</t>
  </si>
  <si>
    <t>ACT-017</t>
  </si>
  <si>
    <t>ACT-018</t>
  </si>
  <si>
    <t>ACT-019</t>
  </si>
  <si>
    <t>Deliver role-based AI literacy training to operators and reviewers</t>
  </si>
  <si>
    <t>HR Learning</t>
  </si>
  <si>
    <t>ACT-020</t>
  </si>
  <si>
    <t>Suspend deployment, obtain Legal determination; decommission or redesign the system</t>
  </si>
  <si>
    <t>Legal + Business Head</t>
  </si>
  <si>
    <t>ACT-021</t>
  </si>
  <si>
    <t>ACT-022</t>
  </si>
  <si>
    <t>Add chatbot/AI disclosure and synthetic-content marking</t>
  </si>
  <si>
    <t>Product Owner</t>
  </si>
  <si>
    <t>ACT-023</t>
  </si>
  <si>
    <t>ACT-024</t>
  </si>
  <si>
    <t>ACT-025</t>
  </si>
  <si>
    <t>ACT-026</t>
  </si>
  <si>
    <t>Assign AI risk owner, document RACI and approve AI policy addendum</t>
  </si>
  <si>
    <t>Head of AI Governance</t>
  </si>
  <si>
    <t>ACT-027</t>
  </si>
  <si>
    <t>ACT-028</t>
  </si>
  <si>
    <t>ACT-029</t>
  </si>
  <si>
    <t>ACT-030</t>
  </si>
  <si>
    <t>ACT-031</t>
  </si>
  <si>
    <t>ACT-032</t>
  </si>
  <si>
    <t>ACT-033</t>
  </si>
  <si>
    <t>Define human oversight measures, override procedure and reviewer training</t>
  </si>
  <si>
    <t>Business Process Owner</t>
  </si>
  <si>
    <t>ACT-034</t>
  </si>
  <si>
    <t>Perform subgroup performance/fairness testing and document mitigations</t>
  </si>
  <si>
    <t>ACT-035</t>
  </si>
  <si>
    <t>Extend QMS procedures (change control, testing, roles) to the AI system</t>
  </si>
  <si>
    <t>Quality / Compliance</t>
  </si>
  <si>
    <t>ACT-036</t>
  </si>
  <si>
    <t>Complete inventory record and assign accountable owner; confirm classification rationale</t>
  </si>
  <si>
    <t>ACT-037</t>
  </si>
  <si>
    <t>ACT-038</t>
  </si>
  <si>
    <t>ACT-039</t>
  </si>
  <si>
    <t>ACT-040</t>
  </si>
  <si>
    <t>Document deployer use per instructions, monitoring and log retention</t>
  </si>
  <si>
    <t>ACT-041</t>
  </si>
  <si>
    <t>ACT-042</t>
  </si>
  <si>
    <t>ACT-043</t>
  </si>
  <si>
    <t>ACT-044</t>
  </si>
  <si>
    <t>ACT-045</t>
  </si>
  <si>
    <t>ACT-046</t>
  </si>
  <si>
    <t>ACT-047</t>
  </si>
  <si>
    <t>ACT-048</t>
  </si>
  <si>
    <t>ACT-049</t>
  </si>
  <si>
    <t>ACT-050</t>
  </si>
  <si>
    <t>ACT-051</t>
  </si>
  <si>
    <t>ACT-052</t>
  </si>
  <si>
    <t>Prepare conformity assessment route and declaration of conformity</t>
  </si>
  <si>
    <t>ACT-053</t>
  </si>
  <si>
    <t>ACT-054</t>
  </si>
  <si>
    <t>ACT-055</t>
  </si>
  <si>
    <t>Complete fundamental-rights / AI impact assessment and record outcome</t>
  </si>
  <si>
    <t>ACT-056</t>
  </si>
  <si>
    <t>ACT-057</t>
  </si>
  <si>
    <t>Synthetic Post-Deployment Monitoring Events</t>
  </si>
  <si>
    <t>Triggers are formulas. Art.73 timing (for reference): report within 15 days of awareness; 2 days for widespread infringement/critical-infrastructure disruption; 10 days in case of death.</t>
  </si>
  <si>
    <t>Event ID</t>
  </si>
  <si>
    <t>Event Date</t>
  </si>
  <si>
    <t>Event Type</t>
  </si>
  <si>
    <t>Source</t>
  </si>
  <si>
    <t>Severity</t>
  </si>
  <si>
    <t>Detected By</t>
  </si>
  <si>
    <t>Re-tier Trigger?</t>
  </si>
  <si>
    <t>Potential Serious Incident (Art.73)?</t>
  </si>
  <si>
    <t>Triage Status</t>
  </si>
  <si>
    <t>Triage Note</t>
  </si>
  <si>
    <t>EVT-001</t>
  </si>
  <si>
    <t>Model / vendor update</t>
  </si>
  <si>
    <t>Vendor notice</t>
  </si>
  <si>
    <t>Vendor released new model version without prior notice</t>
  </si>
  <si>
    <t>Monitoring Agent</t>
  </si>
  <si>
    <t>Under review</t>
  </si>
  <si>
    <t>Root cause analysis in progress</t>
  </si>
  <si>
    <t>EVT-002</t>
  </si>
  <si>
    <t>Bias metric breach</t>
  </si>
  <si>
    <t>Fairness monitor</t>
  </si>
  <si>
    <t>Selection-rate ratio outside tolerance for a protected subgroup</t>
  </si>
  <si>
    <t>No further action</t>
  </si>
  <si>
    <t>EVT-003</t>
  </si>
  <si>
    <t>Critical</t>
  </si>
  <si>
    <t>Mitigation agreed with owner</t>
  </si>
  <si>
    <t>EVT-004</t>
  </si>
  <si>
    <t>Security event</t>
  </si>
  <si>
    <t>SIEM</t>
  </si>
  <si>
    <t>Prompt-injection attempt detected in production logs</t>
  </si>
  <si>
    <t>EVT-005</t>
  </si>
  <si>
    <t>Awaiting vendor response</t>
  </si>
  <si>
    <t>EVT-006</t>
  </si>
  <si>
    <t>New use case</t>
  </si>
  <si>
    <t>Change request</t>
  </si>
  <si>
    <t>Team requests reuse of model for an additional process</t>
  </si>
  <si>
    <t>EVT-007</t>
  </si>
  <si>
    <t>Performance degradation</t>
  </si>
  <si>
    <t>ML monitoring</t>
  </si>
  <si>
    <t>Accuracy/AUC below agreed threshold for 2 consecutive weeks</t>
  </si>
  <si>
    <t>EVT-008</t>
  </si>
  <si>
    <t>EVT-009</t>
  </si>
  <si>
    <t>Serious incident</t>
  </si>
  <si>
    <t>Incident ticket</t>
  </si>
  <si>
    <t>Output error caused significant customer harm; investigation opened</t>
  </si>
  <si>
    <t>Open</t>
  </si>
  <si>
    <t>EVT-010</t>
  </si>
  <si>
    <t>EVT-011</t>
  </si>
  <si>
    <t>EVT-012</t>
  </si>
  <si>
    <t>User complaint</t>
  </si>
  <si>
    <t>Complaints system</t>
  </si>
  <si>
    <t>Customers report incorrect or unexplained outputs</t>
  </si>
  <si>
    <t>EVT-013</t>
  </si>
  <si>
    <t>Data drift</t>
  </si>
  <si>
    <t>Feature distribution shift detected vs training baseline</t>
  </si>
  <si>
    <t>EVT-014</t>
  </si>
  <si>
    <t>EVT-015</t>
  </si>
  <si>
    <t>EVT-016</t>
  </si>
  <si>
    <t>EVT-017</t>
  </si>
  <si>
    <t>EVT-018</t>
  </si>
  <si>
    <t>EVT-019</t>
  </si>
  <si>
    <t>EVT-020</t>
  </si>
  <si>
    <t>EVT-021</t>
  </si>
  <si>
    <t>EVT-022</t>
  </si>
  <si>
    <t>EVT-023</t>
  </si>
  <si>
    <t>EVT-024</t>
  </si>
  <si>
    <t>EVT-025</t>
  </si>
  <si>
    <t>EVT-026</t>
  </si>
  <si>
    <t>Synthetic Agent Run Log (audit trail)</t>
  </si>
  <si>
    <t>Illustrates ISO 42001 A.6.2.8 / EU Art.12-style logging: every agent action is versioned, attributable and reviewable. All values synthetic.</t>
  </si>
  <si>
    <t>Run ID</t>
  </si>
  <si>
    <t>Timestamp</t>
  </si>
  <si>
    <t>Action</t>
  </si>
  <si>
    <t>Output Summary</t>
  </si>
  <si>
    <t>Agent / Prompt Version</t>
  </si>
  <si>
    <t>Tokens</t>
  </si>
  <si>
    <t>Latency (s)</t>
  </si>
  <si>
    <t>Confidence</t>
  </si>
  <si>
    <t>Human Review Required?</t>
  </si>
  <si>
    <t>Human Decision</t>
  </si>
  <si>
    <t>Reviewer</t>
  </si>
  <si>
    <t>Guardrail Flags</t>
  </si>
  <si>
    <t>RUN-8801</t>
  </si>
  <si>
    <t>Assess requirement</t>
  </si>
  <si>
    <t>Status proposed with rationale and evidence citations</t>
  </si>
  <si>
    <t>agent v1.1 / prompt 2026.08</t>
  </si>
  <si>
    <t>Approved</t>
  </si>
  <si>
    <t>RUN-8802</t>
  </si>
  <si>
    <t>Triage incident</t>
  </si>
  <si>
    <t>Art.73 candidate flagged; deadline computed</t>
  </si>
  <si>
    <t>RUN-8803</t>
  </si>
  <si>
    <t>Evaluate change event</t>
  </si>
  <si>
    <t>Material change detected; re-tier request created</t>
  </si>
  <si>
    <t>RUN-8804</t>
  </si>
  <si>
    <t>Apply tier to crosswalk</t>
  </si>
  <si>
    <t>Applicable requirements list generated</t>
  </si>
  <si>
    <t>RUN-8805</t>
  </si>
  <si>
    <t>Challenge tier</t>
  </si>
  <si>
    <t>Counter-argument generated; disagreement flag set</t>
  </si>
  <si>
    <t>Prohibited-practice escalation</t>
  </si>
  <si>
    <t>RUN-8806</t>
  </si>
  <si>
    <t>RUN-8807</t>
  </si>
  <si>
    <t>Regulatory Knowledge Agent</t>
  </si>
  <si>
    <t>Retrieve Art.5 prohibited practices</t>
  </si>
  <si>
    <t>Returned 5 passages; effective dates attached</t>
  </si>
  <si>
    <t>Auto-accepted</t>
  </si>
  <si>
    <t>Citation missing → retry</t>
  </si>
  <si>
    <t>RUN-8808</t>
  </si>
  <si>
    <t>Collect evidence for requirement</t>
  </si>
  <si>
    <t>Linked 3 artefacts; freshness check passed</t>
  </si>
  <si>
    <t>RUN-8809</t>
  </si>
  <si>
    <t>RUN-8810</t>
  </si>
  <si>
    <t>RUN-8811</t>
  </si>
  <si>
    <t>RUN-8812</t>
  </si>
  <si>
    <t>RUN-8813</t>
  </si>
  <si>
    <t>Generate monthly governance pack</t>
  </si>
  <si>
    <t>Pack generated; totals reconciled to source</t>
  </si>
  <si>
    <t>Overridden</t>
  </si>
  <si>
    <t>RUN-8814</t>
  </si>
  <si>
    <t>RUN-8815</t>
  </si>
  <si>
    <t>RUN-8816</t>
  </si>
  <si>
    <t>RUN-8817</t>
  </si>
  <si>
    <t>RUN-8818</t>
  </si>
  <si>
    <t>Draft remediation plan</t>
  </si>
  <si>
    <t>Actions drafted with owner roles and SLA</t>
  </si>
  <si>
    <t>RUN-8819</t>
  </si>
  <si>
    <t>RUN-8820</t>
  </si>
  <si>
    <t>RUN-8821</t>
  </si>
  <si>
    <t>RUN-8822</t>
  </si>
  <si>
    <t>Completeness nudge</t>
  </si>
  <si>
    <t>Reminder sent; completeness now 88%</t>
  </si>
  <si>
    <t>PII redacted</t>
  </si>
  <si>
    <t>RUN-8823</t>
  </si>
  <si>
    <t>RUN-8824</t>
  </si>
  <si>
    <t>Pre-fill intake from model card</t>
  </si>
  <si>
    <t>Pre-filled 18/27 fields; 9 questions sent to owner</t>
  </si>
  <si>
    <t>RUN-8825</t>
  </si>
  <si>
    <t>RUN-8826</t>
  </si>
  <si>
    <t>RUN-8827</t>
  </si>
  <si>
    <t>RUN-8828</t>
  </si>
  <si>
    <t>RUN-8829</t>
  </si>
  <si>
    <t>RUN-8830</t>
  </si>
  <si>
    <t>RUN-8831</t>
  </si>
  <si>
    <t>RUN-8832</t>
  </si>
  <si>
    <t>RUN-8833</t>
  </si>
  <si>
    <t>RUN-8834</t>
  </si>
  <si>
    <t>RUN-8835</t>
  </si>
  <si>
    <t>RUN-8836</t>
  </si>
  <si>
    <t>Classify system</t>
  </si>
  <si>
    <t>Suggested EU tier with rationale and citations</t>
  </si>
  <si>
    <t>tier-agent v1.3 / prompt 2026.09</t>
  </si>
  <si>
    <t>Low confidence → full review</t>
  </si>
  <si>
    <t>RUN-8837</t>
  </si>
  <si>
    <t>RUN-8838</t>
  </si>
  <si>
    <t>RUN-8839</t>
  </si>
  <si>
    <t>RUN-8840</t>
  </si>
  <si>
    <t>RUN-8841</t>
  </si>
  <si>
    <t>RUN-8842</t>
  </si>
  <si>
    <t>RUN-8843</t>
  </si>
  <si>
    <t>Retrieve Annex III / Art.6(3) passages</t>
  </si>
  <si>
    <t>Returned 6 passages with citations</t>
  </si>
  <si>
    <t>RUN-8844</t>
  </si>
  <si>
    <t>RUN-8845</t>
  </si>
  <si>
    <t>RUN-8846</t>
  </si>
  <si>
    <t>RUN-8847</t>
  </si>
  <si>
    <t>RUN-8848</t>
  </si>
  <si>
    <t>2. Final validated internal AI Risk tiers</t>
  </si>
  <si>
    <t xml:space="preserve">Synthetic AI System Inventory </t>
  </si>
  <si>
    <t>AI System Register – Classify Many Systems</t>
  </si>
  <si>
    <t>Owner</t>
  </si>
  <si>
    <t>Art.6(3) Derogation Claimed (Y/N/N.A.)</t>
  </si>
  <si>
    <t>Interacts/Synthetic/Emotion Trigger (Y/N)</t>
  </si>
  <si>
    <t>EU AI Act Tier (computed)</t>
  </si>
  <si>
    <t>Internal Tier (computed)</t>
  </si>
  <si>
    <t>Rationale (computed)</t>
  </si>
  <si>
    <t>Reviewed By</t>
  </si>
  <si>
    <t>Legal Sign-off (Y/N)</t>
  </si>
  <si>
    <t>AI-001 (EXAMPLE)</t>
  </si>
  <si>
    <t>Résumé Screening Tool</t>
  </si>
  <si>
    <t>AI-002 (EXAMPLE)</t>
  </si>
  <si>
    <t>Customer Service Chatbot</t>
  </si>
  <si>
    <t>LLM assistant answering customer questions on the website</t>
  </si>
  <si>
    <t>N.A.</t>
  </si>
  <si>
    <t>AI-003 (EXAMPLE)</t>
  </si>
  <si>
    <t>Fill in columns A–N (yellow). Columns O–Q are computed. Rows marked EXAMPLE are sample data - replace or delete.</t>
  </si>
  <si>
    <t>This ordered logic is implemented as formulas in Quick_Classifier and AI_System_Register.</t>
  </si>
  <si>
    <t>Rule</t>
  </si>
  <si>
    <t>Question</t>
  </si>
  <si>
    <t>If YES</t>
  </si>
  <si>
    <t>If NO</t>
  </si>
  <si>
    <t>Notes</t>
  </si>
  <si>
    <t>Is the system placed on the EU market, put into service in the EU, or is its output used within the EU?</t>
  </si>
  <si>
    <t>Continue to R2</t>
  </si>
  <si>
    <t>STOP → 'Out of EU AI Act Scope' (internal governance only)</t>
  </si>
  <si>
    <t>Non-EU-only systems can still be governed internally, but the AI Act does not apply.</t>
  </si>
  <si>
    <t>Does the system perform a practice prohibited under Art.5? e.g. subliminal/manipulative techniques causing harm; exploiting vulnerabilities (age, disability, socio-economic situation); social scoring; predictive policing based solely on profiling; untargeted scraping of facial images; emotion recognition in the workplace or education; biometric categorisation inferring sensitive attributes (race, political opinions, sexual orientation, etc.); real-time remote biometric identification in public spaces for law enforcement (narrow exceptions only); non-consensual intimate-image / CSAM generation (added by the Digital Omnibus)</t>
  </si>
  <si>
    <t>STOP → 'Prohibited (Art.5)' – do not place on market / withdraw</t>
  </si>
  <si>
    <t>Continue to R3</t>
  </si>
  <si>
    <t>Read the free-text description carefully – prohibited uses are often not obvious from a checkbox (e.g. an 'interview scoring tool' that infers emotion). Highest penalty tier: up to €35m or 7% of global turnover.</t>
  </si>
  <si>
    <t>Is the system a safety component of, or is it itself, a product covered by the Annex I list of EU product-safety legislation (e.g. machinery, toys, lifts, medical devices, aviation) requiring third-party conformity assessment?</t>
  </si>
  <si>
    <t>'High-Risk (Annex I)'</t>
  </si>
  <si>
    <t>Continue to R4</t>
  </si>
  <si>
    <t>Application deferred to 2 Aug 2028 by the Digital Omnibus.</t>
  </si>
  <si>
    <t>Is the intended purpose in one of the 8 Annex III domains? (see Annex_III_Guide) – biometrics; critical infrastructure; education; employment; essential private/public services; law enforcement; migration/border/asylum; administration of justice or democratic processes</t>
  </si>
  <si>
    <t>Continue to R5</t>
  </si>
  <si>
    <t>Continue to R6 (skip to GPAI check)</t>
  </si>
  <si>
    <t>Within that Annex III domain: does the system profile natural persons (per Art.4(4) GDPR-style profiling), OR is a valid Art.6(3) narrow-procedural-task derogation NOT claimed/documented?</t>
  </si>
  <si>
    <t>'High-Risk (Annex III)'</t>
  </si>
  <si>
    <t>Continue to R6 – but the derogation must be formally assessed and documented, and the system registered (Art.49(2))</t>
  </si>
  <si>
    <t>Art. 6(2)–(4)</t>
  </si>
  <si>
    <t>Profiling always overrides the derogation. Reviewer should challenge weak derogation claims.</t>
  </si>
  <si>
    <t>Does your organisation provide a general-purpose AI model (a foundation/base model usable for a wide range of tasks, not fine-tuned end-use only)?</t>
  </si>
  <si>
    <t>Continue to R7</t>
  </si>
  <si>
    <t>Continue to R8</t>
  </si>
  <si>
    <t>Deployers who only use a vendor's GPAI model (without providing one) are not GPAI providers themselves.</t>
  </si>
  <si>
    <t>Was the model trained with cumulative compute ≥ 10^25 FLOP (see Config), or has the Commission designated it as posing systemic risk?</t>
  </si>
  <si>
    <t>'GPAI with Systemic Risk'</t>
  </si>
  <si>
    <t>'GPAI'</t>
  </si>
  <si>
    <t>Systemic-risk providers must notify the Commission within 2 weeks of meeting the criterion.</t>
  </si>
  <si>
    <t>Does the system interact directly with natural persons, generate synthetic audio/image/video/text, or perform emotion recognition / biometric categorisation (and is not already Prohibited or High-Risk)?</t>
  </si>
  <si>
    <t>'Limited Risk (Art.50)'</t>
  </si>
  <si>
    <t>Continue to R9</t>
  </si>
  <si>
    <t>Transparency duties can also apply on top of a High-Risk tier – track this separately if relevant.</t>
  </si>
  <si>
    <t>None of the above triggers apply.</t>
  </si>
  <si>
    <t>Voluntary codes of conduct and AI-literacy obligations (Art.4) still apply.</t>
  </si>
  <si>
    <t>Reference: internal severity tiers (for prioritisation once the EU category is known)</t>
  </si>
  <si>
    <t>Suggested Internal Tier</t>
  </si>
  <si>
    <t>EU AI Act Categories Mapped</t>
  </si>
  <si>
    <t>Typical Review Depth</t>
  </si>
  <si>
    <t>T0 – Stop</t>
  </si>
  <si>
    <t>Immediate legal determination; cease/withdraw</t>
  </si>
  <si>
    <t>T1 – Critical</t>
  </si>
  <si>
    <t>High-Risk (Annex I or III); GPAI with Systemic Risk</t>
  </si>
  <si>
    <t>Full assessment against all applicable obligations; senior sign-off</t>
  </si>
  <si>
    <t>T2 – Elevated</t>
  </si>
  <si>
    <t>Targeted assessment of transparency/documentation duties</t>
  </si>
  <si>
    <t>T3 – Standard</t>
  </si>
  <si>
    <t>Minimal Risk; Out of EU AI Act Scope</t>
  </si>
  <si>
    <t>Baseline governance and periodic attestation</t>
  </si>
  <si>
    <t>EU AI Act - Risk Tiering Decision Logic (evaluated in order)</t>
  </si>
  <si>
    <t>Build a trusted, continuously refreshed inventory of AI systems with complete intake data – this is the prerequisite for risk-tiering.</t>
  </si>
  <si>
    <t>Annex III – High-Risk Use-Case Domains (Art. 6(2))</t>
  </si>
  <si>
    <t>Use this to answer the domain question in R4 of Decision_Logic.</t>
  </si>
  <si>
    <t>Typical High-Risk Use Cases (Art. 6(2), Annex III)</t>
  </si>
  <si>
    <t>Exclusions / Notes</t>
  </si>
  <si>
    <t>Remote biometric identification; biometric categorisation inferring sensitive attributes; emotion recognition</t>
  </si>
  <si>
    <t>Biometric verification whose sole purpose is confirming a person's identity ('is this the same person?') is excluded; several biometric uses are outright prohibited under Art.5</t>
  </si>
  <si>
    <t>AI safety components in the management/operation of critical digital infrastructure, road traffic, or the supply of water, gas, heating or electricity</t>
  </si>
  <si>
    <t>Cybersecurity tools alone are not automatically in scope</t>
  </si>
  <si>
    <t>Determining access/admission; evaluating learning outcomes; assessing the appropriate level of education; monitoring/detecting prohibited student behaviour during tests</t>
  </si>
  <si>
    <t>Emotion recognition in an educational setting is prohibited outright (Art.5)</t>
  </si>
  <si>
    <t>Employment, workers' management &amp; access to self-employment</t>
  </si>
  <si>
    <t>Recruitment (targeted job ads, filtering/evaluating applications); decisions on promotion, termination, task allocation based on behaviour or traits; monitoring/evaluating performance</t>
  </si>
  <si>
    <t>Emotion recognition in the workplace is prohibited outright (Art.5)</t>
  </si>
  <si>
    <t>Eligibility for public assistance/benefits; creditworthiness assessment / credit scoring; risk assessment and pricing for life and health insurance; evaluating and classifying emergency calls, and dispatch/prioritisation of emergency services</t>
  </si>
  <si>
    <t>AI used purely to detect financial fraud is excluded from the credit-scoring category</t>
  </si>
  <si>
    <t>Assessing risk of a person offending or reoffending or of becoming a victim; polygraph-type tools; evaluating the reliability of evidence; profiling in the course of investigation or prosecution</t>
  </si>
  <si>
    <t>Several law-enforcement biometric uses are prohibited outright (Art.5)</t>
  </si>
  <si>
    <t>Risk or security assessment of migrants/applicants; examining eligibility of applications for asylum, visa or residence; detection, recognition or identification of persons in this context</t>
  </si>
  <si>
    <t>Purely administrative or travel-document verification tasks are more limited in scope</t>
  </si>
  <si>
    <t>AI systems assisting a judicial authority in researching/interpreting facts and applying the law; AI used to influence the outcome of an election or referendum, or voting behaviour</t>
  </si>
  <si>
    <t>Purely administrative back-office case-management tools are generally excluded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</si>
</sst>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%"/>
    <numFmt numFmtId="165" formatCode="yyyy\-mm\-dd"/>
    <numFmt numFmtId="166" formatCode="0.0E+00"/>
    <numFmt numFmtId="167" formatCode="0.0"/>
    <numFmt numFmtId="168" formatCode="yyyy\-mm\-dd\ hh:mm"/>
  </numFmts>
  <fonts count="23" x14ac:knownFonts="1">
    <font>
      <sz val="11"/>
      <color theme="1"/>
      <name val="Calibri"/>
      <family val="2"/>
      <charset val="1"/>
    </font>
    <font>
      <b/>
      <sz val="14"/>
      <color rgb="FF1F3864"/>
      <name val="Arial"/>
      <charset val="1"/>
    </font>
    <font>
      <i/>
      <sz val="10"/>
      <color rgb="FF1F3864"/>
      <name val="Arial"/>
      <charset val="1"/>
    </font>
    <font>
      <sz val="10"/>
      <color rgb="FF000000"/>
      <name val="Arial"/>
      <charset val="1"/>
    </font>
    <font>
      <b/>
      <sz val="10"/>
      <color rgb="FF1F3864"/>
      <name val="Arial"/>
      <charset val="1"/>
    </font>
    <font>
      <i/>
      <sz val="10"/>
      <color rgb="FF595959"/>
      <name val="Arial"/>
      <charset val="1"/>
    </font>
    <font>
      <b/>
      <sz val="10"/>
      <color rgb="FFFFFFFF"/>
      <name val="Arial"/>
      <charset val="1"/>
    </font>
    <font>
      <b/>
      <sz val="10"/>
      <color rgb="FF000000"/>
      <name val="Arial"/>
      <charset val="1"/>
    </font>
    <font>
      <b/>
      <sz val="11"/>
      <color rgb="FF1F3864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sz val="10"/>
      <color rgb="FF0000FF"/>
      <name val="Arial"/>
      <charset val="1"/>
    </font>
    <font>
      <b/>
      <sz val="14"/>
      <color rgb="FF1F3864"/>
      <name val="Arial"/>
      <family val="2"/>
    </font>
    <font>
      <sz val="10"/>
      <color rgb="FF000000"/>
      <name val="Arial"/>
      <family val="2"/>
    </font>
    <font>
      <b/>
      <sz val="11"/>
      <color rgb="FF1F3864"/>
      <name val="Arial"/>
      <family val="2"/>
    </font>
    <font>
      <sz val="10"/>
      <name val="Arial"/>
      <family val="2"/>
    </font>
    <font>
      <i/>
      <sz val="10"/>
      <color rgb="FF595959"/>
      <name val="Arial"/>
      <family val="2"/>
    </font>
    <font>
      <sz val="10"/>
      <color rgb="FF0000FF"/>
      <name val="Arial"/>
      <family val="2"/>
    </font>
    <font>
      <b/>
      <sz val="10"/>
      <color rgb="FFFFFFFF"/>
      <name val="Arial"/>
      <family val="2"/>
    </font>
    <font>
      <sz val="10"/>
      <color theme="0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sz val="11"/>
      <color theme="0"/>
      <name val="Calibri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D9D9D9"/>
      </patternFill>
    </fill>
    <fill>
      <patternFill patternType="solid">
        <fgColor rgb="FFFFF2CC"/>
        <bgColor rgb="FFFFE699"/>
      </patternFill>
    </fill>
    <fill>
      <patternFill patternType="solid">
        <fgColor theme="2" tint="-0.749992370372631"/>
        <bgColor rgb="FF333333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8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ck">
        <color rgb="FFFFC000"/>
      </bottom>
      <diagonal/>
    </border>
    <border>
      <left style="thin">
        <color rgb="FFBFBFBF"/>
      </left>
      <right style="thick">
        <color rgb="FFFFC000"/>
      </right>
      <top style="thick">
        <color rgb="FFFFC000"/>
      </top>
      <bottom style="thick">
        <color rgb="FFFFC000"/>
      </bottom>
      <diagonal/>
    </border>
    <border>
      <left style="thin">
        <color rgb="FFBFBFBF"/>
      </left>
      <right style="thin">
        <color rgb="FFBFBFBF"/>
      </right>
      <top style="thick">
        <color rgb="FFFFC000"/>
      </top>
      <bottom style="thick">
        <color rgb="FFFFC000"/>
      </bottom>
      <diagonal/>
    </border>
    <border>
      <left style="medium">
        <color indexed="64"/>
      </left>
      <right style="thin">
        <color rgb="FFBFBFBF"/>
      </right>
      <top style="thick">
        <color rgb="FFFFC000"/>
      </top>
      <bottom style="thick">
        <color rgb="FFFFC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1" fillId="0" borderId="0" xfId="0" applyFont="1"/>
    <xf numFmtId="0" fontId="5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8" fillId="0" borderId="0" xfId="0" applyFont="1"/>
    <xf numFmtId="0" fontId="9" fillId="3" borderId="1" xfId="0" applyFont="1" applyFill="1" applyBorder="1" applyAlignment="1">
      <alignment vertical="top" wrapText="1"/>
    </xf>
    <xf numFmtId="0" fontId="10" fillId="0" borderId="1" xfId="0" applyFont="1" applyBorder="1" applyAlignment="1">
      <alignment vertical="top" wrapText="1"/>
    </xf>
    <xf numFmtId="0" fontId="9" fillId="0" borderId="1" xfId="0" applyFont="1" applyBorder="1" applyAlignment="1">
      <alignment vertical="top" wrapText="1"/>
    </xf>
    <xf numFmtId="0" fontId="11" fillId="4" borderId="1" xfId="0" applyFont="1" applyFill="1" applyBorder="1" applyAlignment="1">
      <alignment vertical="top" wrapText="1"/>
    </xf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0" fontId="5" fillId="0" borderId="0" xfId="0" applyFont="1" applyAlignment="1">
      <alignment vertical="top"/>
    </xf>
    <xf numFmtId="0" fontId="6" fillId="2" borderId="1" xfId="0" applyFont="1" applyFill="1" applyBorder="1" applyAlignment="1">
      <alignment horizontal="center" vertical="top" wrapText="1"/>
    </xf>
    <xf numFmtId="0" fontId="8" fillId="0" borderId="0" xfId="0" applyFont="1" applyAlignment="1">
      <alignment vertical="top"/>
    </xf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5" fillId="0" borderId="0" xfId="0" applyFont="1" applyAlignment="1">
      <alignment horizontal="left" vertical="top"/>
    </xf>
    <xf numFmtId="0" fontId="6" fillId="2" borderId="1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1" fontId="7" fillId="0" borderId="1" xfId="0" applyNumberFormat="1" applyFont="1" applyBorder="1" applyAlignment="1">
      <alignment horizontal="left" vertical="top" wrapText="1"/>
    </xf>
    <xf numFmtId="9" fontId="7" fillId="0" borderId="1" xfId="0" applyNumberFormat="1" applyFont="1" applyBorder="1" applyAlignment="1">
      <alignment horizontal="left" vertical="top" wrapText="1"/>
    </xf>
    <xf numFmtId="164" fontId="7" fillId="0" borderId="1" xfId="0" applyNumberFormat="1" applyFont="1" applyBorder="1" applyAlignment="1">
      <alignment horizontal="left" vertical="top" wrapText="1"/>
    </xf>
    <xf numFmtId="0" fontId="8" fillId="0" borderId="0" xfId="0" applyFont="1" applyAlignment="1">
      <alignment horizontal="left" vertical="top"/>
    </xf>
    <xf numFmtId="9" fontId="3" fillId="0" borderId="1" xfId="0" applyNumberFormat="1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6" fillId="5" borderId="1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0" fillId="0" borderId="3" xfId="0" applyFont="1" applyBorder="1" applyAlignment="1">
      <alignment vertical="top" wrapText="1"/>
    </xf>
    <xf numFmtId="0" fontId="9" fillId="3" borderId="3" xfId="0" applyFont="1" applyFill="1" applyBorder="1" applyAlignment="1">
      <alignment vertical="top" wrapText="1"/>
    </xf>
    <xf numFmtId="0" fontId="10" fillId="0" borderId="4" xfId="0" applyFont="1" applyBorder="1" applyAlignment="1">
      <alignment vertical="top" wrapText="1"/>
    </xf>
    <xf numFmtId="0" fontId="10" fillId="0" borderId="5" xfId="0" applyFont="1" applyBorder="1" applyAlignment="1">
      <alignment vertical="top" wrapText="1"/>
    </xf>
    <xf numFmtId="0" fontId="9" fillId="3" borderId="6" xfId="0" applyFont="1" applyFill="1" applyBorder="1" applyAlignment="1">
      <alignment vertical="top" wrapText="1"/>
    </xf>
    <xf numFmtId="0" fontId="0" fillId="0" borderId="0" xfId="0" applyAlignment="1">
      <alignment horizontal="center" vertical="center"/>
    </xf>
    <xf numFmtId="0" fontId="12" fillId="0" borderId="0" xfId="0" applyFont="1"/>
    <xf numFmtId="0" fontId="14" fillId="0" borderId="0" xfId="0" applyFont="1" applyAlignment="1">
      <alignment horizontal="left" vertical="top"/>
    </xf>
    <xf numFmtId="0" fontId="10" fillId="0" borderId="1" xfId="0" applyFont="1" applyBorder="1" applyAlignment="1">
      <alignment horizontal="left" vertical="top" wrapText="1"/>
    </xf>
    <xf numFmtId="0" fontId="0" fillId="0" borderId="0" xfId="0" applyAlignment="1">
      <alignment horizontal="left"/>
    </xf>
    <xf numFmtId="0" fontId="16" fillId="0" borderId="0" xfId="0" applyFont="1"/>
    <xf numFmtId="0" fontId="18" fillId="2" borderId="1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vertical="top" wrapText="1"/>
    </xf>
    <xf numFmtId="166" fontId="17" fillId="0" borderId="1" xfId="0" applyNumberFormat="1" applyFont="1" applyBorder="1" applyAlignment="1">
      <alignment vertical="top" wrapText="1"/>
    </xf>
    <xf numFmtId="0" fontId="15" fillId="0" borderId="1" xfId="0" applyFont="1" applyBorder="1" applyAlignment="1">
      <alignment vertical="top" wrapText="1"/>
    </xf>
    <xf numFmtId="165" fontId="17" fillId="0" borderId="1" xfId="0" applyNumberFormat="1" applyFont="1" applyBorder="1" applyAlignment="1">
      <alignment vertical="top" wrapText="1"/>
    </xf>
    <xf numFmtId="0" fontId="14" fillId="0" borderId="0" xfId="0" applyFont="1"/>
    <xf numFmtId="0" fontId="13" fillId="0" borderId="1" xfId="0" applyFont="1" applyBorder="1" applyAlignment="1">
      <alignment vertical="top" wrapText="1"/>
    </xf>
    <xf numFmtId="0" fontId="15" fillId="0" borderId="1" xfId="0" applyFont="1" applyBorder="1" applyAlignment="1">
      <alignment horizontal="left" vertical="top" wrapText="1"/>
    </xf>
    <xf numFmtId="0" fontId="15" fillId="0" borderId="1" xfId="0" applyFont="1" applyBorder="1" applyAlignment="1">
      <alignment horizontal="center" vertical="top" wrapText="1"/>
    </xf>
    <xf numFmtId="0" fontId="19" fillId="6" borderId="1" xfId="0" applyFont="1" applyFill="1" applyBorder="1" applyAlignment="1">
      <alignment vertical="top" wrapText="1"/>
    </xf>
    <xf numFmtId="0" fontId="13" fillId="7" borderId="1" xfId="0" applyFont="1" applyFill="1" applyBorder="1" applyAlignment="1">
      <alignment vertical="top" wrapText="1"/>
    </xf>
    <xf numFmtId="0" fontId="13" fillId="8" borderId="1" xfId="0" applyFont="1" applyFill="1" applyBorder="1" applyAlignment="1">
      <alignment vertical="top" wrapText="1"/>
    </xf>
    <xf numFmtId="0" fontId="13" fillId="9" borderId="1" xfId="0" applyFont="1" applyFill="1" applyBorder="1" applyAlignment="1">
      <alignment vertical="top" wrapText="1"/>
    </xf>
    <xf numFmtId="0" fontId="15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left" vertical="top" wrapText="1"/>
    </xf>
    <xf numFmtId="0" fontId="19" fillId="0" borderId="1" xfId="0" applyFont="1" applyBorder="1" applyAlignment="1">
      <alignment vertical="top" wrapText="1"/>
    </xf>
    <xf numFmtId="0" fontId="10" fillId="0" borderId="1" xfId="0" applyFont="1" applyBorder="1" applyAlignment="1">
      <alignment horizontal="center" vertical="top" wrapText="1"/>
    </xf>
    <xf numFmtId="0" fontId="11" fillId="4" borderId="1" xfId="0" applyFont="1" applyFill="1" applyBorder="1" applyAlignment="1">
      <alignment horizontal="left" vertical="top" wrapText="1"/>
    </xf>
    <xf numFmtId="0" fontId="1" fillId="0" borderId="0" xfId="0" applyFont="1" applyAlignment="1">
      <alignment horizontal="left"/>
    </xf>
    <xf numFmtId="0" fontId="19" fillId="10" borderId="1" xfId="0" applyFont="1" applyFill="1" applyBorder="1" applyAlignment="1">
      <alignment vertical="top" wrapText="1"/>
    </xf>
    <xf numFmtId="0" fontId="3" fillId="7" borderId="1" xfId="0" applyFont="1" applyFill="1" applyBorder="1" applyAlignment="1">
      <alignment vertical="top" wrapText="1"/>
    </xf>
    <xf numFmtId="0" fontId="3" fillId="11" borderId="1" xfId="0" applyFont="1" applyFill="1" applyBorder="1" applyAlignment="1">
      <alignment vertical="top" wrapText="1"/>
    </xf>
    <xf numFmtId="0" fontId="3" fillId="9" borderId="1" xfId="0" applyFont="1" applyFill="1" applyBorder="1" applyAlignment="1">
      <alignment vertical="top" wrapText="1"/>
    </xf>
    <xf numFmtId="0" fontId="6" fillId="2" borderId="1" xfId="0" applyFont="1" applyFill="1" applyBorder="1" applyAlignment="1">
      <alignment horizontal="left" vertical="center" wrapText="1"/>
    </xf>
    <xf numFmtId="165" fontId="11" fillId="4" borderId="1" xfId="0" applyNumberFormat="1" applyFont="1" applyFill="1" applyBorder="1" applyAlignment="1">
      <alignment horizontal="left" vertical="top" wrapText="1"/>
    </xf>
    <xf numFmtId="166" fontId="11" fillId="4" borderId="1" xfId="0" applyNumberFormat="1" applyFont="1" applyFill="1" applyBorder="1" applyAlignment="1">
      <alignment horizontal="left" vertical="top" wrapText="1"/>
    </xf>
    <xf numFmtId="2" fontId="11" fillId="4" borderId="1" xfId="0" applyNumberFormat="1" applyFont="1" applyFill="1" applyBorder="1" applyAlignment="1">
      <alignment horizontal="left" vertical="top" wrapText="1"/>
    </xf>
    <xf numFmtId="167" fontId="11" fillId="4" borderId="1" xfId="0" applyNumberFormat="1" applyFont="1" applyFill="1" applyBorder="1" applyAlignment="1">
      <alignment horizontal="left" vertical="top" wrapText="1"/>
    </xf>
    <xf numFmtId="9" fontId="11" fillId="4" borderId="1" xfId="0" applyNumberFormat="1" applyFont="1" applyFill="1" applyBorder="1" applyAlignment="1">
      <alignment horizontal="left" vertical="top" wrapText="1"/>
    </xf>
    <xf numFmtId="0" fontId="5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20" fillId="0" borderId="1" xfId="0" applyFont="1" applyBorder="1" applyAlignment="1">
      <alignment horizontal="left" vertical="top" wrapText="1"/>
    </xf>
    <xf numFmtId="168" fontId="20" fillId="0" borderId="1" xfId="0" applyNumberFormat="1" applyFont="1" applyBorder="1" applyAlignment="1">
      <alignment horizontal="left" vertical="top" wrapText="1"/>
    </xf>
    <xf numFmtId="3" fontId="20" fillId="0" borderId="1" xfId="0" applyNumberFormat="1" applyFont="1" applyBorder="1" applyAlignment="1">
      <alignment horizontal="left" vertical="top" wrapText="1"/>
    </xf>
    <xf numFmtId="9" fontId="20" fillId="0" borderId="1" xfId="0" applyNumberFormat="1" applyFont="1" applyBorder="1" applyAlignment="1">
      <alignment horizontal="left" vertical="top" wrapText="1"/>
    </xf>
    <xf numFmtId="0" fontId="21" fillId="2" borderId="1" xfId="0" applyFont="1" applyFill="1" applyBorder="1" applyAlignment="1">
      <alignment horizontal="center" vertical="center" wrapText="1"/>
    </xf>
    <xf numFmtId="0" fontId="22" fillId="0" borderId="0" xfId="0" applyFont="1"/>
    <xf numFmtId="0" fontId="20" fillId="0" borderId="1" xfId="0" applyFont="1" applyBorder="1" applyAlignment="1">
      <alignment vertical="top" wrapText="1"/>
    </xf>
    <xf numFmtId="165" fontId="20" fillId="0" borderId="1" xfId="0" applyNumberFormat="1" applyFont="1" applyBorder="1" applyAlignment="1">
      <alignment vertical="top" wrapText="1"/>
    </xf>
    <xf numFmtId="9" fontId="20" fillId="0" borderId="1" xfId="0" applyNumberFormat="1" applyFont="1" applyBorder="1" applyAlignment="1">
      <alignment vertical="top" wrapText="1"/>
    </xf>
    <xf numFmtId="167" fontId="20" fillId="0" borderId="1" xfId="0" applyNumberFormat="1" applyFont="1" applyBorder="1" applyAlignment="1">
      <alignment vertical="top" wrapText="1"/>
    </xf>
    <xf numFmtId="165" fontId="20" fillId="0" borderId="1" xfId="0" applyNumberFormat="1" applyFont="1" applyBorder="1" applyAlignment="1">
      <alignment horizontal="left" vertical="top" wrapText="1"/>
    </xf>
    <xf numFmtId="0" fontId="21" fillId="2" borderId="1" xfId="0" applyFont="1" applyFill="1" applyBorder="1" applyAlignment="1">
      <alignment horizontal="left" vertical="center" wrapText="1"/>
    </xf>
    <xf numFmtId="166" fontId="20" fillId="0" borderId="1" xfId="0" applyNumberFormat="1" applyFont="1" applyBorder="1" applyAlignment="1">
      <alignment horizontal="left" vertical="top" wrapText="1"/>
    </xf>
    <xf numFmtId="0" fontId="18" fillId="5" borderId="1" xfId="0" applyFont="1" applyFill="1" applyBorder="1" applyAlignment="1">
      <alignment horizontal="center" vertical="center" wrapText="1"/>
    </xf>
    <xf numFmtId="0" fontId="12" fillId="0" borderId="7" xfId="0" applyFont="1" applyBorder="1" applyAlignment="1">
      <alignment vertical="top" wrapText="1"/>
    </xf>
    <xf numFmtId="0" fontId="12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top" wrapText="1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21">
    <dxf>
      <font>
        <b/>
        <sz val="10"/>
        <color rgb="FFC00000"/>
        <name val="Arial"/>
        <charset val="1"/>
      </font>
    </dxf>
    <dxf>
      <font>
        <b/>
        <sz val="10"/>
        <color rgb="FFC00000"/>
        <name val="Arial"/>
        <charset val="1"/>
      </font>
    </dxf>
    <dxf>
      <font>
        <b/>
        <sz val="10"/>
        <color rgb="FFC00000"/>
        <name val="Arial"/>
        <charset val="1"/>
      </font>
    </dxf>
    <dxf>
      <fill>
        <patternFill>
          <bgColor rgb="FFD9D9D9"/>
        </patternFill>
      </fill>
    </dxf>
    <dxf>
      <fill>
        <patternFill>
          <bgColor rgb="FFF8696B"/>
        </patternFill>
      </fill>
    </dxf>
    <dxf>
      <fill>
        <patternFill>
          <bgColor rgb="FFFFE699"/>
        </patternFill>
      </fill>
    </dxf>
    <dxf>
      <fill>
        <patternFill>
          <bgColor rgb="FFA9D08E"/>
        </patternFill>
      </fill>
    </dxf>
    <dxf>
      <fill>
        <patternFill>
          <bgColor rgb="FFA9D08E"/>
        </patternFill>
      </fill>
    </dxf>
    <dxf>
      <fill>
        <patternFill>
          <bgColor rgb="FFFFE699"/>
        </patternFill>
      </fill>
    </dxf>
    <dxf>
      <fill>
        <patternFill>
          <bgColor rgb="FFF4B084"/>
        </patternFill>
      </fill>
    </dxf>
    <dxf>
      <fill>
        <patternFill>
          <bgColor rgb="FFF8696B"/>
        </patternFill>
      </fill>
    </dxf>
    <dxf>
      <font>
        <b/>
        <sz val="10"/>
        <color rgb="FFC00000"/>
        <name val="Arial"/>
        <charset val="1"/>
      </font>
    </dxf>
    <dxf>
      <fill>
        <patternFill>
          <bgColor rgb="FFFFF2CC"/>
        </patternFill>
      </fill>
    </dxf>
    <dxf>
      <fill>
        <patternFill>
          <bgColor rgb="FFFFE699"/>
        </patternFill>
      </fill>
    </dxf>
    <dxf>
      <fill>
        <patternFill>
          <bgColor rgb="FFA9D08E"/>
        </patternFill>
      </fill>
    </dxf>
    <dxf>
      <fill>
        <patternFill>
          <bgColor rgb="FFF4B084"/>
        </patternFill>
      </fill>
    </dxf>
    <dxf>
      <fill>
        <patternFill>
          <bgColor rgb="FFF8696B"/>
        </patternFill>
      </fill>
    </dxf>
    <dxf>
      <fill>
        <patternFill>
          <bgColor rgb="FFA9D08E"/>
        </patternFill>
      </fill>
    </dxf>
    <dxf>
      <fill>
        <patternFill>
          <bgColor rgb="FFFFE699"/>
        </patternFill>
      </fill>
    </dxf>
    <dxf>
      <fill>
        <patternFill>
          <bgColor rgb="FFF4B084"/>
        </patternFill>
      </fill>
    </dxf>
    <dxf>
      <fill>
        <patternFill>
          <bgColor rgb="FFF8696B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993366"/>
      <rgbColor rgb="FFFFF2CC"/>
      <rgbColor rgb="FFD9E2F3"/>
      <rgbColor rgb="FF660066"/>
      <rgbColor rgb="FFF8696B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A9D08E"/>
      <rgbColor rgb="FFFF99CC"/>
      <rgbColor rgb="FFCC99FF"/>
      <rgbColor rgb="FFF4B084"/>
      <rgbColor rgb="FF2E75B6"/>
      <rgbColor rgb="FF33CCCC"/>
      <rgbColor rgb="FF99CC00"/>
      <rgbColor rgb="FFFFCC00"/>
      <rgbColor rgb="FFFF9900"/>
      <rgbColor rgb="FFC55A11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2829897_tcs_com/Documents/EU_AI_Act_Risk_Tiering_Classifier.xlsx" TargetMode="External"/><Relationship Id="rId2" Type="http://schemas.openxmlformats.org/officeDocument/2006/relationships/externalLinkPath" Target="https://tcscomprod-my.sharepoint.com/personal/2829897_tcs_com/Documents/EU_AI_Act_Risk_Tiering_Classifier.xlsx" TargetMode="External"/><Relationship Id="rId1" Type="http://schemas.openxmlformats.org/officeDocument/2006/relationships/externalLinkPath" Target="/personal/2829897_tcs_com/Documents/EU_AI_Act_Risk_Tiering_Classifi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EADME"/>
      <sheetName val="Quick_Classifier"/>
      <sheetName val="AI_System_Register"/>
      <sheetName val="Decision_Logic"/>
      <sheetName val="Annex_III_Guide"/>
      <sheetName val="Tier_Obligations"/>
      <sheetName val="Config"/>
    </sheetNames>
    <sheetDataSet>
      <sheetData sheetId="0"/>
      <sheetData sheetId="1"/>
      <sheetData sheetId="2"/>
      <sheetData sheetId="3">
        <row r="18">
          <cell r="A18" t="str">
            <v>T0 – Stop</v>
          </cell>
        </row>
        <row r="19">
          <cell r="A19" t="str">
            <v>T1 – Critical</v>
          </cell>
        </row>
        <row r="20">
          <cell r="A20" t="str">
            <v>T2 – Elevated</v>
          </cell>
        </row>
        <row r="21">
          <cell r="A21" t="str">
            <v>T3 – Standard</v>
          </cell>
        </row>
      </sheetData>
      <sheetData sheetId="4"/>
      <sheetData sheetId="5"/>
      <sheetData sheetId="6">
        <row r="5">
          <cell r="B5">
            <v>1.0000000000000001E+25</v>
          </cell>
        </row>
        <row r="9">
          <cell r="A9" t="str">
            <v>Prohibited (Art.5)</v>
          </cell>
          <cell r="B9">
            <v>0</v>
          </cell>
        </row>
        <row r="10">
          <cell r="A10" t="str">
            <v>High-Risk (Annex I)</v>
          </cell>
          <cell r="B10">
            <v>1</v>
          </cell>
        </row>
        <row r="11">
          <cell r="A11" t="str">
            <v>High-Risk (Annex III)</v>
          </cell>
          <cell r="B11">
            <v>1</v>
          </cell>
        </row>
        <row r="12">
          <cell r="A12" t="str">
            <v>GPAI with Systemic Risk</v>
          </cell>
          <cell r="B12">
            <v>1</v>
          </cell>
        </row>
        <row r="13">
          <cell r="A13" t="str">
            <v>GPAI</v>
          </cell>
          <cell r="B13">
            <v>2</v>
          </cell>
        </row>
        <row r="14">
          <cell r="A14" t="str">
            <v>Limited Risk (Art.50)</v>
          </cell>
          <cell r="B14">
            <v>2</v>
          </cell>
        </row>
        <row r="15">
          <cell r="A15" t="str">
            <v>Minimal Risk</v>
          </cell>
          <cell r="B15">
            <v>3</v>
          </cell>
        </row>
        <row r="16">
          <cell r="A16" t="str">
            <v>Out of EU AI Act Scope</v>
          </cell>
          <cell r="B16">
            <v>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A1:A29"/>
  <sheetViews>
    <sheetView tabSelected="1" zoomScaleNormal="100" workbookViewId="0">
      <pane ySplit="1" topLeftCell="A2" activePane="bottomLeft" state="frozen"/>
      <selection pane="bottomLeft"/>
    </sheetView>
  </sheetViews>
  <sheetFormatPr defaultColWidth="8.77734375" defaultRowHeight="14.4" x14ac:dyDescent="0.3"/>
  <cols>
    <col min="1" max="1" width="140" customWidth="1"/>
  </cols>
  <sheetData>
    <row r="1" spans="1:1" ht="17.399999999999999" x14ac:dyDescent="0.3">
      <c r="A1" s="88" t="s">
        <v>0</v>
      </c>
    </row>
    <row r="2" spans="1:1" ht="26.4" x14ac:dyDescent="0.3">
      <c r="A2" s="1" t="s">
        <v>1</v>
      </c>
    </row>
    <row r="3" spans="1:1" x14ac:dyDescent="0.3">
      <c r="A3" s="2"/>
    </row>
    <row r="4" spans="1:1" x14ac:dyDescent="0.3">
      <c r="A4" s="3" t="s">
        <v>2</v>
      </c>
    </row>
    <row r="5" spans="1:1" x14ac:dyDescent="0.3">
      <c r="A5" s="2" t="s">
        <v>3</v>
      </c>
    </row>
    <row r="6" spans="1:1" x14ac:dyDescent="0.3">
      <c r="A6" s="2" t="s">
        <v>4</v>
      </c>
    </row>
    <row r="7" spans="1:1" x14ac:dyDescent="0.3">
      <c r="A7" s="2" t="s">
        <v>5</v>
      </c>
    </row>
    <row r="8" spans="1:1" x14ac:dyDescent="0.3">
      <c r="A8" s="2" t="s">
        <v>6</v>
      </c>
    </row>
    <row r="9" spans="1:1" x14ac:dyDescent="0.3">
      <c r="A9" s="2" t="s">
        <v>7</v>
      </c>
    </row>
    <row r="10" spans="1:1" x14ac:dyDescent="0.3">
      <c r="A10" s="2" t="s">
        <v>8</v>
      </c>
    </row>
    <row r="11" spans="1:1" x14ac:dyDescent="0.3">
      <c r="A11" s="2" t="s">
        <v>9</v>
      </c>
    </row>
    <row r="12" spans="1:1" x14ac:dyDescent="0.3">
      <c r="A12" s="2" t="s">
        <v>10</v>
      </c>
    </row>
    <row r="13" spans="1:1" x14ac:dyDescent="0.3">
      <c r="A13" s="2" t="s">
        <v>11</v>
      </c>
    </row>
    <row r="14" spans="1:1" x14ac:dyDescent="0.3">
      <c r="A14" s="2" t="s">
        <v>12</v>
      </c>
    </row>
    <row r="15" spans="1:1" x14ac:dyDescent="0.3">
      <c r="A15" s="2" t="s">
        <v>13</v>
      </c>
    </row>
    <row r="16" spans="1:1" x14ac:dyDescent="0.3">
      <c r="A16" s="2" t="s">
        <v>14</v>
      </c>
    </row>
    <row r="17" spans="1:1" x14ac:dyDescent="0.3">
      <c r="A17" s="2" t="s">
        <v>15</v>
      </c>
    </row>
    <row r="18" spans="1:1" x14ac:dyDescent="0.3">
      <c r="A18" s="2" t="s">
        <v>16</v>
      </c>
    </row>
    <row r="19" spans="1:1" x14ac:dyDescent="0.3">
      <c r="A19" s="2"/>
    </row>
    <row r="20" spans="1:1" x14ac:dyDescent="0.3">
      <c r="A20" s="3" t="s">
        <v>17</v>
      </c>
    </row>
    <row r="21" spans="1:1" x14ac:dyDescent="0.3">
      <c r="A21" s="2" t="s">
        <v>18</v>
      </c>
    </row>
    <row r="22" spans="1:1" x14ac:dyDescent="0.3">
      <c r="A22" s="2"/>
    </row>
    <row r="23" spans="1:1" x14ac:dyDescent="0.3">
      <c r="A23" s="3" t="s">
        <v>19</v>
      </c>
    </row>
    <row r="24" spans="1:1" x14ac:dyDescent="0.3">
      <c r="A24" s="2" t="s">
        <v>20</v>
      </c>
    </row>
    <row r="25" spans="1:1" ht="26.4" x14ac:dyDescent="0.3">
      <c r="A25" s="2" t="s">
        <v>21</v>
      </c>
    </row>
    <row r="26" spans="1:1" ht="26.4" x14ac:dyDescent="0.3">
      <c r="A26" s="2" t="s">
        <v>22</v>
      </c>
    </row>
    <row r="27" spans="1:1" x14ac:dyDescent="0.3">
      <c r="A27" s="2" t="s">
        <v>23</v>
      </c>
    </row>
    <row r="28" spans="1:1" x14ac:dyDescent="0.3">
      <c r="A28" s="2" t="s">
        <v>24</v>
      </c>
    </row>
    <row r="29" spans="1:1" x14ac:dyDescent="0.3">
      <c r="A29" s="2" t="s">
        <v>25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G65"/>
  <sheetViews>
    <sheetView zoomScaleNormal="100" workbookViewId="0">
      <pane ySplit="2" topLeftCell="A6" activePane="bottomLeft" state="frozen"/>
      <selection pane="bottomLeft" activeCell="A10" sqref="A10"/>
    </sheetView>
  </sheetViews>
  <sheetFormatPr defaultColWidth="8.77734375" defaultRowHeight="14.4" x14ac:dyDescent="0.3"/>
  <cols>
    <col min="1" max="1" width="46" style="19" customWidth="1"/>
    <col min="2" max="2" width="16" style="19" customWidth="1"/>
    <col min="3" max="3" width="44" style="19" customWidth="1"/>
    <col min="4" max="5" width="18" style="19" customWidth="1"/>
    <col min="6" max="7" width="16" style="19" customWidth="1"/>
    <col min="8" max="16384" width="8.77734375" style="19"/>
  </cols>
  <sheetData>
    <row r="1" spans="1:3" ht="17.399999999999999" x14ac:dyDescent="0.3">
      <c r="A1" s="18" t="s">
        <v>26</v>
      </c>
    </row>
    <row r="2" spans="1:3" x14ac:dyDescent="0.3">
      <c r="A2" s="20" t="str">
        <f>"As-of date: "&amp;TEXT(Config!B4,"yyyy-mm-dd")&amp;"  |  All figures computed from Syn_* sheets"</f>
        <v>As-of date: 2026-09-28  |  All figures computed from Syn_* sheets</v>
      </c>
    </row>
    <row r="4" spans="1:3" x14ac:dyDescent="0.3">
      <c r="A4" s="21" t="s">
        <v>27</v>
      </c>
      <c r="B4" s="21" t="s">
        <v>28</v>
      </c>
      <c r="C4" s="21" t="s">
        <v>29</v>
      </c>
    </row>
    <row r="5" spans="1:3" x14ac:dyDescent="0.3">
      <c r="A5" s="22" t="s">
        <v>30</v>
      </c>
      <c r="B5" s="23">
        <f>COUNTA(Syn_AI_Inventory!$A$5:$A$34)</f>
        <v>30</v>
      </c>
      <c r="C5" s="22" t="s">
        <v>31</v>
      </c>
    </row>
    <row r="6" spans="1:3" x14ac:dyDescent="0.3">
      <c r="A6" s="22" t="s">
        <v>32</v>
      </c>
      <c r="B6" s="24">
        <f>AVERAGE(Syn_AI_Inventory!$AA$5:$AA$34)</f>
        <v>0.90133333333333321</v>
      </c>
      <c r="C6" s="22" t="s">
        <v>33</v>
      </c>
    </row>
    <row r="7" spans="1:3" x14ac:dyDescent="0.3">
      <c r="A7" s="22" t="s">
        <v>34</v>
      </c>
      <c r="B7" s="23">
        <f>COUNTIF(Syn_Tiering!$J$5:$J$34,"Prohibited (Art.5)")</f>
        <v>3</v>
      </c>
      <c r="C7" s="22" t="s">
        <v>35</v>
      </c>
    </row>
    <row r="8" spans="1:3" x14ac:dyDescent="0.3">
      <c r="A8" s="22" t="s">
        <v>36</v>
      </c>
      <c r="B8" s="23">
        <f>COUNTIF(Syn_Tiering!$J$5:$J$34,"High-Risk*")</f>
        <v>8</v>
      </c>
      <c r="C8" s="22" t="s">
        <v>37</v>
      </c>
    </row>
    <row r="9" spans="1:3" x14ac:dyDescent="0.3">
      <c r="A9" s="22" t="s">
        <v>38</v>
      </c>
      <c r="B9" s="25">
        <f>COUNTIF(Syn_Tiering!$M$5:$M$34,"Yes")/COUNTA(Syn_Tiering!$A$5:$A$34)</f>
        <v>0.9</v>
      </c>
      <c r="C9" s="22" t="s">
        <v>39</v>
      </c>
    </row>
    <row r="10" spans="1:3" x14ac:dyDescent="0.3">
      <c r="A10" s="22" t="s">
        <v>40</v>
      </c>
      <c r="B10" s="25">
        <f>COUNTIF(Syn_Tiering!$N$5:$N$34,"Yes")/COUNTA(Syn_Tiering!$A$5:$A$34)</f>
        <v>0.96666666666666667</v>
      </c>
      <c r="C10" s="22" t="s">
        <v>41</v>
      </c>
    </row>
    <row r="11" spans="1:3" x14ac:dyDescent="0.3">
      <c r="A11" s="22" t="s">
        <v>42</v>
      </c>
      <c r="B11" s="24">
        <f>IFERROR(COUNTIFS(Syn_Tiering!$J$5:$J$34,"Prohibited (Art.5)",Syn_Tiering!$C$5:$C$34,"Prohibited (Art.5)")/COUNTIF(Syn_Tiering!$J$5:$J$34,"Prohibited (Art.5)"),"n/a")</f>
        <v>0.66666666666666663</v>
      </c>
      <c r="C11" s="22" t="s">
        <v>43</v>
      </c>
    </row>
    <row r="12" spans="1:3" x14ac:dyDescent="0.3">
      <c r="A12" s="22" t="s">
        <v>44</v>
      </c>
      <c r="B12" s="24">
        <f>IFERROR(COUNTIFS(Syn_Tiering!$J$5:$J$34,"Prohibited (Art.5)",Syn_Tiering!$G$5:$G$34,"Prohibited (Art.5)")/COUNTIF(Syn_Tiering!$J$5:$J$34,"Prohibited (Art.5)"),"n/a")</f>
        <v>1</v>
      </c>
      <c r="C12" s="22" t="s">
        <v>45</v>
      </c>
    </row>
    <row r="13" spans="1:3" x14ac:dyDescent="0.3">
      <c r="A13" s="22" t="s">
        <v>46</v>
      </c>
      <c r="B13" s="24">
        <f>AVERAGE(Syn_Tiering!$H$5:$H$34)</f>
        <v>0.87133333333333318</v>
      </c>
      <c r="C13" s="22" t="s">
        <v>47</v>
      </c>
    </row>
    <row r="14" spans="1:3" x14ac:dyDescent="0.3">
      <c r="A14" s="22" t="s">
        <v>48</v>
      </c>
      <c r="B14" s="24">
        <f>COUNTIF(Syn_Tiering!$P$5:$P$34,"Fast-track*")/COUNTA(Syn_Tiering!$A$5:$A$34)</f>
        <v>0.46666666666666667</v>
      </c>
      <c r="C14" s="22" t="s">
        <v>49</v>
      </c>
    </row>
    <row r="15" spans="1:3" x14ac:dyDescent="0.3">
      <c r="A15" s="22" t="s">
        <v>50</v>
      </c>
      <c r="B15" s="24">
        <f>AVERAGE(Syn_Gap_Assessment!$N$5:$N$134)</f>
        <v>0.56153846153846154</v>
      </c>
      <c r="C15" s="22" t="s">
        <v>51</v>
      </c>
    </row>
    <row r="16" spans="1:3" x14ac:dyDescent="0.3">
      <c r="A16" s="22" t="s">
        <v>52</v>
      </c>
      <c r="B16" s="23">
        <f>COUNTA(Syn_Remediation!$A$5:$A$61)-COUNTIF(Syn_Remediation!$N$5:$N$61,"Closed")</f>
        <v>45</v>
      </c>
      <c r="C16" s="22" t="s">
        <v>53</v>
      </c>
    </row>
    <row r="17" spans="1:5" x14ac:dyDescent="0.3">
      <c r="A17" s="22" t="s">
        <v>54</v>
      </c>
      <c r="B17" s="23">
        <f>COUNTIF(Syn_Remediation!$O$5:$O$61,"Overdue")</f>
        <v>18</v>
      </c>
      <c r="C17" s="22" t="s">
        <v>55</v>
      </c>
    </row>
    <row r="18" spans="1:5" x14ac:dyDescent="0.3">
      <c r="A18" s="22" t="s">
        <v>56</v>
      </c>
      <c r="B18" s="23">
        <f>COUNTIF(Syn_Monitoring!$K$5:$K$30,"Yes")</f>
        <v>16</v>
      </c>
      <c r="C18" s="22" t="s">
        <v>57</v>
      </c>
    </row>
    <row r="19" spans="1:5" x14ac:dyDescent="0.3">
      <c r="A19" s="22" t="s">
        <v>58</v>
      </c>
      <c r="B19" s="23">
        <f>COUNTIF(Syn_Monitoring!$L$5:$L$30,"Yes")</f>
        <v>3</v>
      </c>
      <c r="C19" s="22" t="s">
        <v>59</v>
      </c>
    </row>
    <row r="21" spans="1:5" x14ac:dyDescent="0.3">
      <c r="A21" s="26" t="s">
        <v>60</v>
      </c>
    </row>
    <row r="22" spans="1:5" ht="26.4" x14ac:dyDescent="0.3">
      <c r="A22" s="21" t="s">
        <v>61</v>
      </c>
      <c r="B22" s="21" t="s">
        <v>62</v>
      </c>
      <c r="C22" s="21" t="s">
        <v>63</v>
      </c>
      <c r="D22" s="21" t="s">
        <v>64</v>
      </c>
      <c r="E22" s="21" t="s">
        <v>65</v>
      </c>
    </row>
    <row r="23" spans="1:5" x14ac:dyDescent="0.3">
      <c r="A23" s="22" t="str">
        <f>Config!A17</f>
        <v>Prohibited (Art.5)</v>
      </c>
      <c r="B23" s="22">
        <f>COUNTIF(Syn_Tiering!$C$5:$C$34,A23)</f>
        <v>2</v>
      </c>
      <c r="C23" s="22">
        <f>COUNTIF(Syn_Tiering!$G$5:$G$34,A23)</f>
        <v>3</v>
      </c>
      <c r="D23" s="22">
        <f>COUNTIF(Syn_Tiering!$J$5:$J$34,A23)</f>
        <v>3</v>
      </c>
      <c r="E23" s="27">
        <f>D23/COUNTA(Syn_Tiering!$A$5:$A$34)</f>
        <v>0.1</v>
      </c>
    </row>
    <row r="24" spans="1:5" x14ac:dyDescent="0.3">
      <c r="A24" s="22" t="str">
        <f>Config!A18</f>
        <v>High-Risk (Annex I)</v>
      </c>
      <c r="B24" s="22">
        <f>COUNTIF(Syn_Tiering!$C$5:$C$34,A24)</f>
        <v>0</v>
      </c>
      <c r="C24" s="22">
        <f>COUNTIF(Syn_Tiering!$G$5:$G$34,A24)</f>
        <v>0</v>
      </c>
      <c r="D24" s="22">
        <f>COUNTIF(Syn_Tiering!$J$5:$J$34,A24)</f>
        <v>0</v>
      </c>
      <c r="E24" s="27">
        <f>D24/COUNTA(Syn_Tiering!$A$5:$A$34)</f>
        <v>0</v>
      </c>
    </row>
    <row r="25" spans="1:5" x14ac:dyDescent="0.3">
      <c r="A25" s="22" t="str">
        <f>Config!A19</f>
        <v>High-Risk (Annex III)</v>
      </c>
      <c r="B25" s="22">
        <f>COUNTIF(Syn_Tiering!$C$5:$C$34,A25)</f>
        <v>9</v>
      </c>
      <c r="C25" s="22">
        <f>COUNTIF(Syn_Tiering!$G$5:$G$34,A25)</f>
        <v>9</v>
      </c>
      <c r="D25" s="22">
        <f>COUNTIF(Syn_Tiering!$J$5:$J$34,A25)</f>
        <v>8</v>
      </c>
      <c r="E25" s="27">
        <f>D25/COUNTA(Syn_Tiering!$A$5:$A$34)</f>
        <v>0.26666666666666666</v>
      </c>
    </row>
    <row r="26" spans="1:5" x14ac:dyDescent="0.3">
      <c r="A26" s="22" t="str">
        <f>Config!A20</f>
        <v>GPAI with Systemic Risk</v>
      </c>
      <c r="B26" s="22">
        <f>COUNTIF(Syn_Tiering!$C$5:$C$34,A26)</f>
        <v>0</v>
      </c>
      <c r="C26" s="22">
        <f>COUNTIF(Syn_Tiering!$G$5:$G$34,A26)</f>
        <v>0</v>
      </c>
      <c r="D26" s="22">
        <f>COUNTIF(Syn_Tiering!$J$5:$J$34,A26)</f>
        <v>0</v>
      </c>
      <c r="E26" s="27">
        <f>D26/COUNTA(Syn_Tiering!$A$5:$A$34)</f>
        <v>0</v>
      </c>
    </row>
    <row r="27" spans="1:5" x14ac:dyDescent="0.3">
      <c r="A27" s="22" t="str">
        <f>Config!A21</f>
        <v>GPAI</v>
      </c>
      <c r="B27" s="22">
        <f>COUNTIF(Syn_Tiering!$C$5:$C$34,A27)</f>
        <v>1</v>
      </c>
      <c r="C27" s="22">
        <f>COUNTIF(Syn_Tiering!$G$5:$G$34,A27)</f>
        <v>1</v>
      </c>
      <c r="D27" s="22">
        <f>COUNTIF(Syn_Tiering!$J$5:$J$34,A27)</f>
        <v>1</v>
      </c>
      <c r="E27" s="27">
        <f>D27/COUNTA(Syn_Tiering!$A$5:$A$34)</f>
        <v>3.3333333333333333E-2</v>
      </c>
    </row>
    <row r="28" spans="1:5" x14ac:dyDescent="0.3">
      <c r="A28" s="22" t="str">
        <f>Config!A22</f>
        <v>Limited Risk (Art.50)</v>
      </c>
      <c r="B28" s="22">
        <f>COUNTIF(Syn_Tiering!$C$5:$C$34,A28)</f>
        <v>7</v>
      </c>
      <c r="C28" s="22">
        <f>COUNTIF(Syn_Tiering!$G$5:$G$34,A28)</f>
        <v>7</v>
      </c>
      <c r="D28" s="22">
        <f>COUNTIF(Syn_Tiering!$J$5:$J$34,A28)</f>
        <v>7</v>
      </c>
      <c r="E28" s="27">
        <f>D28/COUNTA(Syn_Tiering!$A$5:$A$34)</f>
        <v>0.23333333333333334</v>
      </c>
    </row>
    <row r="29" spans="1:5" x14ac:dyDescent="0.3">
      <c r="A29" s="22" t="str">
        <f>Config!A23</f>
        <v>Minimal Risk</v>
      </c>
      <c r="B29" s="22">
        <f>COUNTIF(Syn_Tiering!$C$5:$C$34,A29)</f>
        <v>10</v>
      </c>
      <c r="C29" s="22">
        <f>COUNTIF(Syn_Tiering!$G$5:$G$34,A29)</f>
        <v>9</v>
      </c>
      <c r="D29" s="22">
        <f>COUNTIF(Syn_Tiering!$J$5:$J$34,A29)</f>
        <v>10</v>
      </c>
      <c r="E29" s="27">
        <f>D29/COUNTA(Syn_Tiering!$A$5:$A$34)</f>
        <v>0.33333333333333331</v>
      </c>
    </row>
    <row r="30" spans="1:5" x14ac:dyDescent="0.3">
      <c r="A30" s="22" t="str">
        <f>Config!A24</f>
        <v>Out of EU AI Act Scope</v>
      </c>
      <c r="B30" s="22">
        <f>COUNTIF(Syn_Tiering!$C$5:$C$34,A30)</f>
        <v>1</v>
      </c>
      <c r="C30" s="22">
        <f>COUNTIF(Syn_Tiering!$G$5:$G$34,A30)</f>
        <v>1</v>
      </c>
      <c r="D30" s="22">
        <f>COUNTIF(Syn_Tiering!$J$5:$J$34,A30)</f>
        <v>1</v>
      </c>
      <c r="E30" s="27">
        <f>D30/COUNTA(Syn_Tiering!$A$5:$A$34)</f>
        <v>3.3333333333333333E-2</v>
      </c>
    </row>
    <row r="31" spans="1:5" x14ac:dyDescent="0.3">
      <c r="A31" s="28" t="s">
        <v>66</v>
      </c>
      <c r="B31" s="28">
        <f>SUM(B23:B30)</f>
        <v>30</v>
      </c>
      <c r="C31" s="28">
        <f>SUM(C23:C30)</f>
        <v>30</v>
      </c>
      <c r="D31" s="28">
        <f>SUM(D23:D30)</f>
        <v>30</v>
      </c>
    </row>
    <row r="33" spans="1:6" x14ac:dyDescent="0.3">
      <c r="A33" s="39" t="s">
        <v>1714</v>
      </c>
    </row>
    <row r="34" spans="1:6" ht="26.4" x14ac:dyDescent="0.3">
      <c r="A34" s="21" t="s">
        <v>67</v>
      </c>
      <c r="B34" s="21" t="s">
        <v>68</v>
      </c>
      <c r="C34" s="21" t="s">
        <v>69</v>
      </c>
      <c r="D34" s="21" t="s">
        <v>70</v>
      </c>
      <c r="E34" s="21" t="s">
        <v>71</v>
      </c>
    </row>
    <row r="35" spans="1:6" x14ac:dyDescent="0.3">
      <c r="A35" s="22" t="str">
        <f>Config!B28</f>
        <v>T0 - Stop</v>
      </c>
      <c r="B35" s="22">
        <f>COUNTIF(Syn_Tiering!$Q$5:$Q$34,A35)</f>
        <v>3</v>
      </c>
      <c r="C35" s="27">
        <f>B35/COUNTA(Syn_Tiering!$A$5:$A$34)</f>
        <v>0.1</v>
      </c>
      <c r="D35" s="22">
        <f>Tier_Obligations!D5</f>
        <v>7</v>
      </c>
      <c r="E35" s="22" t="str">
        <f>Tier_Obligations!C5</f>
        <v>P0</v>
      </c>
    </row>
    <row r="36" spans="1:6" x14ac:dyDescent="0.3">
      <c r="A36" s="22" t="str">
        <f>Config!B29</f>
        <v>T1 - Critical</v>
      </c>
      <c r="B36" s="22">
        <f>COUNTIF(Syn_Tiering!$Q$5:$Q$34,A36)</f>
        <v>11</v>
      </c>
      <c r="C36" s="27">
        <f>B36/COUNTA(Syn_Tiering!$A$5:$A$34)</f>
        <v>0.36666666666666664</v>
      </c>
      <c r="D36" s="22">
        <f>Tier_Obligations!D6</f>
        <v>30</v>
      </c>
      <c r="E36" s="22" t="str">
        <f>Tier_Obligations!C6</f>
        <v>P1</v>
      </c>
    </row>
    <row r="37" spans="1:6" x14ac:dyDescent="0.3">
      <c r="A37" s="22" t="str">
        <f>Config!B30</f>
        <v>T2 - Elevated</v>
      </c>
      <c r="B37" s="22">
        <f>COUNTIF(Syn_Tiering!$Q$5:$Q$34,A37)</f>
        <v>11</v>
      </c>
      <c r="C37" s="27">
        <f>B37/COUNTA(Syn_Tiering!$A$5:$A$34)</f>
        <v>0.36666666666666664</v>
      </c>
      <c r="D37" s="22">
        <f>Tier_Obligations!D7</f>
        <v>60</v>
      </c>
      <c r="E37" s="22" t="str">
        <f>Tier_Obligations!C7</f>
        <v>P2</v>
      </c>
    </row>
    <row r="38" spans="1:6" x14ac:dyDescent="0.3">
      <c r="A38" s="22" t="str">
        <f>Config!B31</f>
        <v>T3 - Standard</v>
      </c>
      <c r="B38" s="22">
        <f>COUNTIF(Syn_Tiering!$Q$5:$Q$34,A38)</f>
        <v>5</v>
      </c>
      <c r="C38" s="27">
        <f>B38/COUNTA(Syn_Tiering!$A$5:$A$34)</f>
        <v>0.16666666666666666</v>
      </c>
      <c r="D38" s="22">
        <f>Tier_Obligations!D8</f>
        <v>120</v>
      </c>
      <c r="E38" s="22" t="str">
        <f>Tier_Obligations!C8</f>
        <v>P3</v>
      </c>
    </row>
    <row r="40" spans="1:6" x14ac:dyDescent="0.3">
      <c r="A40" s="26" t="s">
        <v>72</v>
      </c>
    </row>
    <row r="41" spans="1:6" x14ac:dyDescent="0.3">
      <c r="A41" s="21" t="s">
        <v>73</v>
      </c>
      <c r="B41" s="21" t="str">
        <f>Config!B28</f>
        <v>T0 - Stop</v>
      </c>
      <c r="C41" s="21" t="str">
        <f>Config!B29</f>
        <v>T1 - Critical</v>
      </c>
      <c r="D41" s="21" t="str">
        <f>Config!B30</f>
        <v>T2 - Elevated</v>
      </c>
      <c r="E41" s="21" t="str">
        <f>Config!B31</f>
        <v>T3 - Standard</v>
      </c>
      <c r="F41" s="21" t="s">
        <v>66</v>
      </c>
    </row>
    <row r="42" spans="1:6" x14ac:dyDescent="0.3">
      <c r="A42" s="22" t="s">
        <v>74</v>
      </c>
      <c r="B42" s="22">
        <f>COUNTIFS(Syn_AI_Inventory!$D$5:$D$34,$A42,Syn_Tiering!$Q$5:$Q$34,B$41)</f>
        <v>0</v>
      </c>
      <c r="C42" s="22">
        <f>COUNTIFS(Syn_AI_Inventory!$D$5:$D$34,$A42,Syn_Tiering!$Q$5:$Q$34,C$41)</f>
        <v>3</v>
      </c>
      <c r="D42" s="22">
        <f>COUNTIFS(Syn_AI_Inventory!$D$5:$D$34,$A42,Syn_Tiering!$Q$5:$Q$34,D$41)</f>
        <v>4</v>
      </c>
      <c r="E42" s="22">
        <f>COUNTIFS(Syn_AI_Inventory!$D$5:$D$34,$A42,Syn_Tiering!$Q$5:$Q$34,E$41)</f>
        <v>0</v>
      </c>
      <c r="F42" s="28">
        <f t="shared" ref="F42:F49" si="0">SUM(B42:E42)</f>
        <v>7</v>
      </c>
    </row>
    <row r="43" spans="1:6" x14ac:dyDescent="0.3">
      <c r="A43" s="22" t="s">
        <v>75</v>
      </c>
      <c r="B43" s="22">
        <f>COUNTIFS(Syn_AI_Inventory!$D$5:$D$34,$A43,Syn_Tiering!$Q$5:$Q$34,B$41)</f>
        <v>0</v>
      </c>
      <c r="C43" s="22">
        <f>COUNTIFS(Syn_AI_Inventory!$D$5:$D$34,$A43,Syn_Tiering!$Q$5:$Q$34,C$41)</f>
        <v>2</v>
      </c>
      <c r="D43" s="22">
        <f>COUNTIFS(Syn_AI_Inventory!$D$5:$D$34,$A43,Syn_Tiering!$Q$5:$Q$34,D$41)</f>
        <v>1</v>
      </c>
      <c r="E43" s="22">
        <f>COUNTIFS(Syn_AI_Inventory!$D$5:$D$34,$A43,Syn_Tiering!$Q$5:$Q$34,E$41)</f>
        <v>0</v>
      </c>
      <c r="F43" s="28">
        <f t="shared" si="0"/>
        <v>3</v>
      </c>
    </row>
    <row r="44" spans="1:6" x14ac:dyDescent="0.3">
      <c r="A44" s="22" t="s">
        <v>76</v>
      </c>
      <c r="B44" s="22">
        <f>COUNTIFS(Syn_AI_Inventory!$D$5:$D$34,$A44,Syn_Tiering!$Q$5:$Q$34,B$41)</f>
        <v>1</v>
      </c>
      <c r="C44" s="22">
        <f>COUNTIFS(Syn_AI_Inventory!$D$5:$D$34,$A44,Syn_Tiering!$Q$5:$Q$34,C$41)</f>
        <v>3</v>
      </c>
      <c r="D44" s="22">
        <f>COUNTIFS(Syn_AI_Inventory!$D$5:$D$34,$A44,Syn_Tiering!$Q$5:$Q$34,D$41)</f>
        <v>2</v>
      </c>
      <c r="E44" s="22">
        <f>COUNTIFS(Syn_AI_Inventory!$D$5:$D$34,$A44,Syn_Tiering!$Q$5:$Q$34,E$41)</f>
        <v>0</v>
      </c>
      <c r="F44" s="28">
        <f t="shared" si="0"/>
        <v>6</v>
      </c>
    </row>
    <row r="45" spans="1:6" x14ac:dyDescent="0.3">
      <c r="A45" s="22" t="s">
        <v>77</v>
      </c>
      <c r="B45" s="22">
        <f>COUNTIFS(Syn_AI_Inventory!$D$5:$D$34,$A45,Syn_Tiering!$Q$5:$Q$34,B$41)</f>
        <v>0</v>
      </c>
      <c r="C45" s="22">
        <f>COUNTIFS(Syn_AI_Inventory!$D$5:$D$34,$A45,Syn_Tiering!$Q$5:$Q$34,C$41)</f>
        <v>1</v>
      </c>
      <c r="D45" s="22">
        <f>COUNTIFS(Syn_AI_Inventory!$D$5:$D$34,$A45,Syn_Tiering!$Q$5:$Q$34,D$41)</f>
        <v>0</v>
      </c>
      <c r="E45" s="22">
        <f>COUNTIFS(Syn_AI_Inventory!$D$5:$D$34,$A45,Syn_Tiering!$Q$5:$Q$34,E$41)</f>
        <v>1</v>
      </c>
      <c r="F45" s="28">
        <f t="shared" si="0"/>
        <v>2</v>
      </c>
    </row>
    <row r="46" spans="1:6" x14ac:dyDescent="0.3">
      <c r="A46" s="22" t="s">
        <v>78</v>
      </c>
      <c r="B46" s="22">
        <f>COUNTIFS(Syn_AI_Inventory!$D$5:$D$34,$A46,Syn_Tiering!$Q$5:$Q$34,B$41)</f>
        <v>0</v>
      </c>
      <c r="C46" s="22">
        <f>COUNTIFS(Syn_AI_Inventory!$D$5:$D$34,$A46,Syn_Tiering!$Q$5:$Q$34,C$41)</f>
        <v>1</v>
      </c>
      <c r="D46" s="22">
        <f>COUNTIFS(Syn_AI_Inventory!$D$5:$D$34,$A46,Syn_Tiering!$Q$5:$Q$34,D$41)</f>
        <v>0</v>
      </c>
      <c r="E46" s="22">
        <f>COUNTIFS(Syn_AI_Inventory!$D$5:$D$34,$A46,Syn_Tiering!$Q$5:$Q$34,E$41)</f>
        <v>0</v>
      </c>
      <c r="F46" s="28">
        <f t="shared" si="0"/>
        <v>1</v>
      </c>
    </row>
    <row r="47" spans="1:6" x14ac:dyDescent="0.3">
      <c r="A47" s="22" t="s">
        <v>79</v>
      </c>
      <c r="B47" s="22">
        <f>COUNTIFS(Syn_AI_Inventory!$D$5:$D$34,$A47,Syn_Tiering!$Q$5:$Q$34,B$41)</f>
        <v>1</v>
      </c>
      <c r="C47" s="22">
        <f>COUNTIFS(Syn_AI_Inventory!$D$5:$D$34,$A47,Syn_Tiering!$Q$5:$Q$34,C$41)</f>
        <v>0</v>
      </c>
      <c r="D47" s="22">
        <f>COUNTIFS(Syn_AI_Inventory!$D$5:$D$34,$A47,Syn_Tiering!$Q$5:$Q$34,D$41)</f>
        <v>1</v>
      </c>
      <c r="E47" s="22">
        <f>COUNTIFS(Syn_AI_Inventory!$D$5:$D$34,$A47,Syn_Tiering!$Q$5:$Q$34,E$41)</f>
        <v>1</v>
      </c>
      <c r="F47" s="28">
        <f t="shared" si="0"/>
        <v>3</v>
      </c>
    </row>
    <row r="48" spans="1:6" x14ac:dyDescent="0.3">
      <c r="A48" s="22" t="s">
        <v>80</v>
      </c>
      <c r="B48" s="22">
        <f>COUNTIFS(Syn_AI_Inventory!$D$5:$D$34,$A48,Syn_Tiering!$Q$5:$Q$34,B$41)</f>
        <v>1</v>
      </c>
      <c r="C48" s="22">
        <f>COUNTIFS(Syn_AI_Inventory!$D$5:$D$34,$A48,Syn_Tiering!$Q$5:$Q$34,C$41)</f>
        <v>1</v>
      </c>
      <c r="D48" s="22">
        <f>COUNTIFS(Syn_AI_Inventory!$D$5:$D$34,$A48,Syn_Tiering!$Q$5:$Q$34,D$41)</f>
        <v>1</v>
      </c>
      <c r="E48" s="22">
        <f>COUNTIFS(Syn_AI_Inventory!$D$5:$D$34,$A48,Syn_Tiering!$Q$5:$Q$34,E$41)</f>
        <v>1</v>
      </c>
      <c r="F48" s="28">
        <f t="shared" si="0"/>
        <v>4</v>
      </c>
    </row>
    <row r="49" spans="1:7" x14ac:dyDescent="0.3">
      <c r="A49" s="22" t="s">
        <v>81</v>
      </c>
      <c r="B49" s="22">
        <f>COUNTIFS(Syn_AI_Inventory!$D$5:$D$34,$A49,Syn_Tiering!$Q$5:$Q$34,B$41)</f>
        <v>0</v>
      </c>
      <c r="C49" s="22">
        <f>COUNTIFS(Syn_AI_Inventory!$D$5:$D$34,$A49,Syn_Tiering!$Q$5:$Q$34,C$41)</f>
        <v>0</v>
      </c>
      <c r="D49" s="22">
        <f>COUNTIFS(Syn_AI_Inventory!$D$5:$D$34,$A49,Syn_Tiering!$Q$5:$Q$34,D$41)</f>
        <v>2</v>
      </c>
      <c r="E49" s="22">
        <f>COUNTIFS(Syn_AI_Inventory!$D$5:$D$34,$A49,Syn_Tiering!$Q$5:$Q$34,E$41)</f>
        <v>2</v>
      </c>
      <c r="F49" s="28">
        <f t="shared" si="0"/>
        <v>4</v>
      </c>
    </row>
    <row r="50" spans="1:7" x14ac:dyDescent="0.3">
      <c r="A50" s="28" t="s">
        <v>66</v>
      </c>
      <c r="B50" s="28">
        <f>SUM(B42:B49)</f>
        <v>3</v>
      </c>
      <c r="C50" s="28">
        <f>SUM(C42:C49)</f>
        <v>11</v>
      </c>
      <c r="D50" s="28">
        <f>SUM(D42:D49)</f>
        <v>11</v>
      </c>
      <c r="E50" s="28">
        <f>SUM(E42:E49)</f>
        <v>5</v>
      </c>
      <c r="F50" s="28">
        <f>SUM(F42:F49)</f>
        <v>30</v>
      </c>
    </row>
    <row r="52" spans="1:7" x14ac:dyDescent="0.3">
      <c r="A52" s="26" t="s">
        <v>82</v>
      </c>
    </row>
    <row r="53" spans="1:7" ht="26.4" x14ac:dyDescent="0.3">
      <c r="A53" s="21" t="s">
        <v>67</v>
      </c>
      <c r="B53" s="21" t="s">
        <v>83</v>
      </c>
      <c r="C53" s="21" t="s">
        <v>84</v>
      </c>
      <c r="D53" s="21" t="s">
        <v>85</v>
      </c>
      <c r="E53" s="21" t="s">
        <v>86</v>
      </c>
      <c r="F53" s="21" t="s">
        <v>87</v>
      </c>
      <c r="G53" s="21" t="s">
        <v>88</v>
      </c>
    </row>
    <row r="54" spans="1:7" x14ac:dyDescent="0.3">
      <c r="A54" s="22" t="str">
        <f>Config!B28</f>
        <v>T0 - Stop</v>
      </c>
      <c r="B54" s="22">
        <f>COUNTIF(Syn_Gap_Assessment!$D$5:$D$134,A54)</f>
        <v>6</v>
      </c>
      <c r="C54" s="22">
        <f>COUNTIFS(Syn_Gap_Assessment!$D$5:$D$134,$A54,Syn_Gap_Assessment!$J$5:$J$134,"Implemented")</f>
        <v>2</v>
      </c>
      <c r="D54" s="22">
        <f>COUNTIFS(Syn_Gap_Assessment!$D$5:$D$134,$A54,Syn_Gap_Assessment!$J$5:$J$134,"Partially Implemented")</f>
        <v>2</v>
      </c>
      <c r="E54" s="22">
        <f>COUNTIFS(Syn_Gap_Assessment!$D$5:$D$134,$A54,Syn_Gap_Assessment!$J$5:$J$134,"Not Implemented")</f>
        <v>1</v>
      </c>
      <c r="F54" s="22">
        <f>COUNTIFS(Syn_Gap_Assessment!$D$5:$D$134,$A54,Syn_Gap_Assessment!$J$5:$J$134,"Not Assessed")</f>
        <v>1</v>
      </c>
      <c r="G54" s="27">
        <f>IFERROR(SUMIFS(Syn_Gap_Assessment!$N$5:$N$134,Syn_Gap_Assessment!$D$5:$D$134,A54)/B54,"n/a")</f>
        <v>0.5</v>
      </c>
    </row>
    <row r="55" spans="1:7" x14ac:dyDescent="0.3">
      <c r="A55" s="22" t="str">
        <f>Config!B29</f>
        <v>T1 - Critical</v>
      </c>
      <c r="B55" s="22">
        <f>COUNTIF(Syn_Gap_Assessment!$D$5:$D$134,A55)</f>
        <v>76</v>
      </c>
      <c r="C55" s="22">
        <f>COUNTIFS(Syn_Gap_Assessment!$D$5:$D$134,$A55,Syn_Gap_Assessment!$J$5:$J$134,"Implemented")</f>
        <v>29</v>
      </c>
      <c r="D55" s="22">
        <f>COUNTIFS(Syn_Gap_Assessment!$D$5:$D$134,$A55,Syn_Gap_Assessment!$J$5:$J$134,"Partially Implemented")</f>
        <v>25</v>
      </c>
      <c r="E55" s="22">
        <f>COUNTIFS(Syn_Gap_Assessment!$D$5:$D$134,$A55,Syn_Gap_Assessment!$J$5:$J$134,"Not Implemented")</f>
        <v>19</v>
      </c>
      <c r="F55" s="22">
        <f>COUNTIFS(Syn_Gap_Assessment!$D$5:$D$134,$A55,Syn_Gap_Assessment!$J$5:$J$134,"Not Assessed")</f>
        <v>3</v>
      </c>
      <c r="G55" s="27">
        <f>IFERROR(SUMIFS(Syn_Gap_Assessment!$N$5:$N$134,Syn_Gap_Assessment!$D$5:$D$134,A55)/B55,"n/a")</f>
        <v>0.54605263157894735</v>
      </c>
    </row>
    <row r="56" spans="1:7" x14ac:dyDescent="0.3">
      <c r="A56" s="22" t="str">
        <f>Config!B30</f>
        <v>T2 - Elevated</v>
      </c>
      <c r="B56" s="22">
        <f>COUNTIF(Syn_Gap_Assessment!$D$5:$D$134,A56)</f>
        <v>38</v>
      </c>
      <c r="C56" s="22">
        <f>COUNTIFS(Syn_Gap_Assessment!$D$5:$D$134,$A56,Syn_Gap_Assessment!$J$5:$J$134,"Implemented")</f>
        <v>20</v>
      </c>
      <c r="D56" s="22">
        <f>COUNTIFS(Syn_Gap_Assessment!$D$5:$D$134,$A56,Syn_Gap_Assessment!$J$5:$J$134,"Partially Implemented")</f>
        <v>8</v>
      </c>
      <c r="E56" s="22">
        <f>COUNTIFS(Syn_Gap_Assessment!$D$5:$D$134,$A56,Syn_Gap_Assessment!$J$5:$J$134,"Not Implemented")</f>
        <v>8</v>
      </c>
      <c r="F56" s="22">
        <f>COUNTIFS(Syn_Gap_Assessment!$D$5:$D$134,$A56,Syn_Gap_Assessment!$J$5:$J$134,"Not Assessed")</f>
        <v>2</v>
      </c>
      <c r="G56" s="27">
        <f>IFERROR(SUMIFS(Syn_Gap_Assessment!$N$5:$N$134,Syn_Gap_Assessment!$D$5:$D$134,A56)/B56,"n/a")</f>
        <v>0.63157894736842102</v>
      </c>
    </row>
    <row r="57" spans="1:7" x14ac:dyDescent="0.3">
      <c r="A57" s="22" t="str">
        <f>Config!B31</f>
        <v>T3 - Standard</v>
      </c>
      <c r="B57" s="22">
        <f>COUNTIF(Syn_Gap_Assessment!$D$5:$D$134,A57)</f>
        <v>10</v>
      </c>
      <c r="C57" s="22">
        <f>COUNTIFS(Syn_Gap_Assessment!$D$5:$D$134,$A57,Syn_Gap_Assessment!$J$5:$J$134,"Implemented")</f>
        <v>3</v>
      </c>
      <c r="D57" s="22">
        <f>COUNTIFS(Syn_Gap_Assessment!$D$5:$D$134,$A57,Syn_Gap_Assessment!$J$5:$J$134,"Partially Implemented")</f>
        <v>3</v>
      </c>
      <c r="E57" s="22">
        <f>COUNTIFS(Syn_Gap_Assessment!$D$5:$D$134,$A57,Syn_Gap_Assessment!$J$5:$J$134,"Not Implemented")</f>
        <v>4</v>
      </c>
      <c r="F57" s="22">
        <f>COUNTIFS(Syn_Gap_Assessment!$D$5:$D$134,$A57,Syn_Gap_Assessment!$J$5:$J$134,"Not Assessed")</f>
        <v>0</v>
      </c>
      <c r="G57" s="27">
        <f>IFERROR(SUMIFS(Syn_Gap_Assessment!$N$5:$N$134,Syn_Gap_Assessment!$D$5:$D$134,A57)/B57,"n/a")</f>
        <v>0.45</v>
      </c>
    </row>
    <row r="59" spans="1:7" x14ac:dyDescent="0.3">
      <c r="A59" s="26" t="s">
        <v>89</v>
      </c>
    </row>
    <row r="60" spans="1:7" x14ac:dyDescent="0.3">
      <c r="A60" s="21" t="s">
        <v>90</v>
      </c>
      <c r="B60" s="21" t="s">
        <v>91</v>
      </c>
      <c r="C60" s="21" t="s">
        <v>92</v>
      </c>
      <c r="D60" s="21" t="s">
        <v>93</v>
      </c>
      <c r="E60" s="21" t="s">
        <v>94</v>
      </c>
    </row>
    <row r="61" spans="1:7" x14ac:dyDescent="0.3">
      <c r="A61" s="22" t="s">
        <v>95</v>
      </c>
      <c r="B61" s="22">
        <f>COUNTIF(MVP_Backlog!$B$5:$B$43,A61)</f>
        <v>8</v>
      </c>
      <c r="C61" s="22">
        <f>SUMIF(MVP_Backlog!$B$5:$B$43,A61,MVP_Backlog!$F$5:$F$43)</f>
        <v>42</v>
      </c>
      <c r="D61" s="22">
        <f>COUNTIFS(MVP_Backlog!$B$5:$B$43,A61,MVP_Backlog!$E$5:$E$43,"Must")</f>
        <v>7</v>
      </c>
      <c r="E61" s="22" t="s">
        <v>96</v>
      </c>
    </row>
    <row r="62" spans="1:7" x14ac:dyDescent="0.3">
      <c r="A62" s="22" t="s">
        <v>97</v>
      </c>
      <c r="B62" s="22">
        <f>COUNTIF(MVP_Backlog!$B$5:$B$43,A62)</f>
        <v>11</v>
      </c>
      <c r="C62" s="22">
        <f>SUMIF(MVP_Backlog!$B$5:$B$43,A62,MVP_Backlog!$F$5:$F$43)</f>
        <v>71</v>
      </c>
      <c r="D62" s="22">
        <f>COUNTIFS(MVP_Backlog!$B$5:$B$43,A62,MVP_Backlog!$E$5:$E$43,"Must")</f>
        <v>8</v>
      </c>
      <c r="E62" s="22" t="s">
        <v>98</v>
      </c>
    </row>
    <row r="63" spans="1:7" x14ac:dyDescent="0.3">
      <c r="A63" s="22" t="s">
        <v>99</v>
      </c>
      <c r="B63" s="22">
        <f>COUNTIF(MVP_Backlog!$B$5:$B$43,A63)</f>
        <v>10</v>
      </c>
      <c r="C63" s="22">
        <f>SUMIF(MVP_Backlog!$B$5:$B$43,A63,MVP_Backlog!$F$5:$F$43)</f>
        <v>70</v>
      </c>
      <c r="D63" s="22">
        <f>COUNTIFS(MVP_Backlog!$B$5:$B$43,A63,MVP_Backlog!$E$5:$E$43,"Must")</f>
        <v>5</v>
      </c>
      <c r="E63" s="22" t="s">
        <v>100</v>
      </c>
    </row>
    <row r="64" spans="1:7" x14ac:dyDescent="0.3">
      <c r="A64" s="22" t="s">
        <v>101</v>
      </c>
      <c r="B64" s="22">
        <f>COUNTIF(MVP_Backlog!$B$5:$B$43,A64)</f>
        <v>10</v>
      </c>
      <c r="C64" s="22">
        <f>SUMIF(MVP_Backlog!$B$5:$B$43,A64,MVP_Backlog!$F$5:$F$43)</f>
        <v>65</v>
      </c>
      <c r="D64" s="22">
        <f>COUNTIFS(MVP_Backlog!$B$5:$B$43,A64,MVP_Backlog!$E$5:$E$43,"Must")</f>
        <v>6</v>
      </c>
      <c r="E64" s="22" t="s">
        <v>100</v>
      </c>
    </row>
    <row r="65" spans="1:4" x14ac:dyDescent="0.3">
      <c r="A65" s="28" t="s">
        <v>66</v>
      </c>
      <c r="B65" s="28">
        <f>SUM(B61:B64)</f>
        <v>39</v>
      </c>
      <c r="C65" s="28">
        <f>SUM(C61:C64)</f>
        <v>248</v>
      </c>
      <c r="D65" s="28">
        <f>SUM(D61:D64)</f>
        <v>26</v>
      </c>
    </row>
  </sheetData>
  <conditionalFormatting sqref="A35:A38">
    <cfRule type="expression" dxfId="20" priority="2">
      <formula>LEFT(A35,2)="T0"</formula>
    </cfRule>
    <cfRule type="expression" dxfId="19" priority="3">
      <formula>LEFT(A35,2)="T1"</formula>
    </cfRule>
    <cfRule type="expression" dxfId="18" priority="4">
      <formula>LEFT(A35,2)="T2"</formula>
    </cfRule>
    <cfRule type="expression" dxfId="17" priority="5">
      <formula>LEFT(A35,2)="T3"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26863-105F-4065-924E-C708EC76FDF8}">
  <sheetPr>
    <tabColor rgb="FFFFC000"/>
  </sheetPr>
  <dimension ref="A1:T29"/>
  <sheetViews>
    <sheetView topLeftCell="C1" workbookViewId="0">
      <selection activeCell="G7" sqref="G7"/>
    </sheetView>
  </sheetViews>
  <sheetFormatPr defaultColWidth="8.77734375" defaultRowHeight="14.4" x14ac:dyDescent="0.3"/>
  <cols>
    <col min="1" max="1" width="16" customWidth="1"/>
    <col min="2" max="2" width="26" customWidth="1"/>
    <col min="3" max="3" width="39.88671875" customWidth="1"/>
    <col min="4" max="4" width="14" customWidth="1"/>
    <col min="5" max="5" width="18" customWidth="1"/>
    <col min="6" max="7" width="9.88671875" customWidth="1"/>
    <col min="8" max="8" width="12" customWidth="1"/>
    <col min="9" max="9" width="20" customWidth="1"/>
    <col min="10" max="10" width="12.21875" customWidth="1"/>
    <col min="11" max="11" width="14" customWidth="1"/>
    <col min="12" max="12" width="9.88671875" customWidth="1"/>
    <col min="13" max="13" width="11" customWidth="1"/>
    <col min="14" max="14" width="12" customWidth="1"/>
    <col min="15" max="15" width="26" customWidth="1"/>
    <col min="16" max="16" width="18" customWidth="1"/>
    <col min="17" max="17" width="50" customWidth="1"/>
    <col min="18" max="18" width="16" customWidth="1"/>
    <col min="19" max="19" width="13" customWidth="1"/>
    <col min="20" max="20" width="12" customWidth="1"/>
  </cols>
  <sheetData>
    <row r="1" spans="1:20" ht="17.399999999999999" x14ac:dyDescent="0.3">
      <c r="A1" s="38" t="s">
        <v>1716</v>
      </c>
    </row>
    <row r="2" spans="1:20" x14ac:dyDescent="0.3">
      <c r="A2" s="42" t="s">
        <v>1732</v>
      </c>
    </row>
    <row r="4" spans="1:20" ht="54" customHeight="1" x14ac:dyDescent="0.3">
      <c r="A4" s="43" t="s">
        <v>985</v>
      </c>
      <c r="B4" s="43" t="s">
        <v>986</v>
      </c>
      <c r="C4" s="43" t="s">
        <v>975</v>
      </c>
      <c r="D4" s="43" t="s">
        <v>1717</v>
      </c>
      <c r="E4" s="43" t="s">
        <v>73</v>
      </c>
      <c r="F4" s="43" t="s">
        <v>992</v>
      </c>
      <c r="G4" s="43" t="s">
        <v>993</v>
      </c>
      <c r="H4" s="43" t="s">
        <v>994</v>
      </c>
      <c r="I4" s="43" t="s">
        <v>608</v>
      </c>
      <c r="J4" s="43" t="s">
        <v>995</v>
      </c>
      <c r="K4" s="43" t="s">
        <v>1718</v>
      </c>
      <c r="L4" s="43" t="s">
        <v>1000</v>
      </c>
      <c r="M4" s="43" t="s">
        <v>636</v>
      </c>
      <c r="N4" s="43" t="s">
        <v>1719</v>
      </c>
      <c r="O4" s="43" t="s">
        <v>1720</v>
      </c>
      <c r="P4" s="43" t="s">
        <v>1721</v>
      </c>
      <c r="Q4" s="43" t="s">
        <v>1722</v>
      </c>
      <c r="R4" s="43" t="s">
        <v>1723</v>
      </c>
      <c r="S4" s="43" t="s">
        <v>1163</v>
      </c>
      <c r="T4" s="43" t="s">
        <v>1724</v>
      </c>
    </row>
    <row r="5" spans="1:20" ht="26.4" x14ac:dyDescent="0.3">
      <c r="A5" s="44" t="s">
        <v>1725</v>
      </c>
      <c r="B5" s="44" t="s">
        <v>1726</v>
      </c>
      <c r="C5" s="44" t="s">
        <v>1010</v>
      </c>
      <c r="D5" s="44" t="s">
        <v>1011</v>
      </c>
      <c r="E5" s="44" t="s">
        <v>76</v>
      </c>
      <c r="F5" s="44" t="s">
        <v>1015</v>
      </c>
      <c r="G5" s="44" t="s">
        <v>1016</v>
      </c>
      <c r="H5" s="44" t="s">
        <v>1016</v>
      </c>
      <c r="I5" s="44" t="s">
        <v>1017</v>
      </c>
      <c r="J5" s="44" t="s">
        <v>1015</v>
      </c>
      <c r="K5" s="44" t="s">
        <v>1016</v>
      </c>
      <c r="L5" s="44" t="s">
        <v>1016</v>
      </c>
      <c r="M5" s="45"/>
      <c r="N5" s="44" t="s">
        <v>1016</v>
      </c>
      <c r="O5" s="46" t="str">
        <f>IF(A5="","",IF(F5="N","Out of EU AI Act Scope",IF(G5="Y","Prohibited (Art.5)",IF(H5="Y","High-Risk (Annex I)",IF(AND(I5&lt;&gt;"None",OR(J5="Y",K5="N")),"High-Risk (Annex III)",IF(L5="Y",IF(N(M5)&gt;=[1]Config!$B$5,"GPAI with Systemic Risk","GPAI"),IF(N5="Y","Limited Risk (Art.50)","Minimal Risk")))))))</f>
        <v>High-Risk (Annex III)</v>
      </c>
      <c r="P5" s="46" t="str">
        <f>IF(O5="","",INDEX([1]Decision_Logic!$A$18:$A$21,MATCH(INDEX([1]Config!$B$9:$B$16,MATCH(O5,[1]Config!$A$9:$A$16,0)),{0;1;2;3},0)))</f>
        <v>T1 – Critical</v>
      </c>
      <c r="Q5" s="46" t="str">
        <f>IF(A5="","",IF(F5="N","No EU nexus declared (Art.2).",IF(G5="Y","Art.5 prohibited practice indicated (Art.5) – escalate to Legal.",IF(H5="Y","Annex I safety component requiring conformity assessment (Art.6(1)).",IF(AND(I5&lt;&gt;"None",OR(J5="Y",K5="N")),"Annex III domain ('"&amp;I5&amp;"') with profiling and/or no valid derogation (Art.6(2)-(4)).",IF(L5="Y",IF(N(M5)&gt;=[1]Config!$B$5,"GPAI above systemic-risk compute threshold (Art.51(2),55).","GPAI below systemic-risk threshold (Art.51-53)."),IF(N5="Y","Direct interaction / synthetic content / emotion or biometric trigger (Art.50).","No triggers identified.")))))))</f>
        <v>Annex III domain ('Employment') with profiling and/or no valid derogation (Art.6(2)-(4)).</v>
      </c>
      <c r="R5" s="44"/>
      <c r="S5" s="47"/>
      <c r="T5" s="44"/>
    </row>
    <row r="6" spans="1:20" ht="26.4" x14ac:dyDescent="0.3">
      <c r="A6" s="44" t="s">
        <v>1727</v>
      </c>
      <c r="B6" s="44" t="s">
        <v>1728</v>
      </c>
      <c r="C6" s="44" t="s">
        <v>1729</v>
      </c>
      <c r="D6" s="44" t="s">
        <v>1031</v>
      </c>
      <c r="E6" s="44" t="s">
        <v>74</v>
      </c>
      <c r="F6" s="44" t="s">
        <v>1015</v>
      </c>
      <c r="G6" s="44" t="s">
        <v>1016</v>
      </c>
      <c r="H6" s="44" t="s">
        <v>1016</v>
      </c>
      <c r="I6" s="44" t="s">
        <v>1034</v>
      </c>
      <c r="J6" s="44" t="s">
        <v>1016</v>
      </c>
      <c r="K6" s="44" t="s">
        <v>1730</v>
      </c>
      <c r="L6" s="44" t="s">
        <v>1016</v>
      </c>
      <c r="M6" s="45"/>
      <c r="N6" s="44" t="s">
        <v>1015</v>
      </c>
      <c r="O6" s="46" t="str">
        <f>IF(A6="","",IF(F6="N","Out of EU AI Act Scope",IF(G6="Y","Prohibited (Art.5)",IF(H6="Y","High-Risk (Annex I)",IF(AND(I6&lt;&gt;"None",OR(J6="Y",K6="N")),"High-Risk (Annex III)",IF(L6="Y",IF(N(M6)&gt;=[1]Config!$B$5,"GPAI with Systemic Risk","GPAI"),IF(N6="Y","Limited Risk (Art.50)","Minimal Risk")))))))</f>
        <v>Limited Risk (Art.50)</v>
      </c>
      <c r="P6" s="46" t="str">
        <f>IF(O6="","",INDEX([1]Decision_Logic!$A$18:$A$21,MATCH(INDEX([1]Config!$B$9:$B$16,MATCH(O6,[1]Config!$A$9:$A$16,0)),{0;1;2;3},0)))</f>
        <v>T2 – Elevated</v>
      </c>
      <c r="Q6" s="46" t="str">
        <f>IF(A6="","",IF(F6="N","No EU nexus declared (Art.2).",IF(G6="Y","Art.5 prohibited practice indicated (Art.5) – escalate to Legal.",IF(H6="Y","Annex I safety component requiring conformity assessment (Art.6(1)).",IF(AND(I6&lt;&gt;"None",OR(J6="Y",K6="N")),"Annex III domain ('"&amp;I6&amp;"') with profiling and/or no valid derogation (Art.6(2)-(4)).",IF(L6="Y",IF(N(M6)&gt;=[1]Config!$B$5,"GPAI above systemic-risk compute threshold (Art.51(2),55).","GPAI below systemic-risk threshold (Art.51-53)."),IF(N6="Y","Direct interaction / synthetic content / emotion or biometric trigger (Art.50).","No triggers identified.")))))))</f>
        <v>Direct interaction / synthetic content / emotion or biometric trigger (Art.50).</v>
      </c>
      <c r="R6" s="44"/>
      <c r="S6" s="47"/>
      <c r="T6" s="44"/>
    </row>
    <row r="7" spans="1:20" ht="26.4" x14ac:dyDescent="0.3">
      <c r="A7" s="44" t="s">
        <v>1731</v>
      </c>
      <c r="B7" s="44" t="s">
        <v>1036</v>
      </c>
      <c r="C7" s="44" t="s">
        <v>1037</v>
      </c>
      <c r="D7" s="44" t="s">
        <v>1038</v>
      </c>
      <c r="E7" s="44" t="s">
        <v>74</v>
      </c>
      <c r="F7" s="44" t="s">
        <v>1015</v>
      </c>
      <c r="G7" s="44" t="s">
        <v>1016</v>
      </c>
      <c r="H7" s="44" t="s">
        <v>1016</v>
      </c>
      <c r="I7" s="44" t="s">
        <v>1034</v>
      </c>
      <c r="J7" s="44" t="s">
        <v>1016</v>
      </c>
      <c r="K7" s="44" t="s">
        <v>1730</v>
      </c>
      <c r="L7" s="44" t="s">
        <v>1016</v>
      </c>
      <c r="M7" s="45"/>
      <c r="N7" s="44" t="s">
        <v>1016</v>
      </c>
      <c r="O7" s="46" t="str">
        <f>IF(A7="","",IF(F7="N","Out of EU AI Act Scope",IF(G7="Y","Prohibited (Art.5)",IF(H7="Y","High-Risk (Annex I)",IF(AND(I7&lt;&gt;"None",OR(J7="Y",K7="N")),"High-Risk (Annex III)",IF(L7="Y",IF(N(M7)&gt;=[1]Config!$B$5,"GPAI with Systemic Risk","GPAI"),IF(N7="Y","Limited Risk (Art.50)","Minimal Risk")))))))</f>
        <v>Minimal Risk</v>
      </c>
      <c r="P7" s="46" t="str">
        <f>IF(O7="","",INDEX([1]Decision_Logic!$A$18:$A$21,MATCH(INDEX([1]Config!$B$9:$B$16,MATCH(O7,[1]Config!$A$9:$A$16,0)),{0;1;2;3},0)))</f>
        <v>T3 – Standard</v>
      </c>
      <c r="Q7" s="46" t="str">
        <f>IF(A7="","",IF(F7="N","No EU nexus declared (Art.2).",IF(G7="Y","Art.5 prohibited practice indicated (Art.5) – escalate to Legal.",IF(H7="Y","Annex I safety component requiring conformity assessment (Art.6(1)).",IF(AND(I7&lt;&gt;"None",OR(J7="Y",K7="N")),"Annex III domain ('"&amp;I7&amp;"') with profiling and/or no valid derogation (Art.6(2)-(4)).",IF(L7="Y",IF(N(M7)&gt;=[1]Config!$B$5,"GPAI above systemic-risk compute threshold (Art.51(2),55).","GPAI below systemic-risk threshold (Art.51-53)."),IF(N7="Y","Direct interaction / synthetic content / emotion or biometric trigger (Art.50).","No triggers identified.")))))))</f>
        <v>No triggers identified.</v>
      </c>
      <c r="R7" s="44"/>
      <c r="S7" s="47"/>
      <c r="T7" s="44"/>
    </row>
    <row r="8" spans="1:20" x14ac:dyDescent="0.3">
      <c r="A8" s="44"/>
      <c r="B8" s="58"/>
      <c r="C8" s="44"/>
      <c r="D8" s="44"/>
      <c r="E8" s="44"/>
      <c r="F8" s="44"/>
      <c r="G8" s="44"/>
      <c r="H8" s="44"/>
      <c r="I8" s="44"/>
      <c r="J8" s="44"/>
      <c r="K8" s="44"/>
      <c r="L8" s="44"/>
      <c r="M8" s="45"/>
      <c r="N8" s="44"/>
      <c r="O8" s="46" t="str">
        <f>IF(A8="","",IF(F8="N","Out of EU AI Act Scope",IF(G8="Y","Prohibited (Art.5)",IF(H8="Y","High-Risk (Annex I)",IF(AND(I8&lt;&gt;"None",OR(J8="Y",K8="N")),"High-Risk (Annex III)",IF(L8="Y",IF(N(M8)&gt;=[1]Config!$B$5,"GPAI with Systemic Risk","GPAI"),IF(N8="Y","Limited Risk (Art.50)","Minimal Risk")))))))</f>
        <v/>
      </c>
      <c r="P8" s="46" t="str">
        <f>IF(O8="","",INDEX([1]Decision_Logic!$A$18:$A$21,MATCH(INDEX([1]Config!$B$9:$B$16,MATCH(O8,[1]Config!$A$9:$A$16,0)),{0;1;2;3},0)))</f>
        <v/>
      </c>
      <c r="Q8" s="46" t="str">
        <f>IF(A8="","",IF(F8="N","No EU nexus declared (Art.2).",IF(G8="Y","Art.5 prohibited practice indicated (Art.5) – escalate to Legal.",IF(H8="Y","Annex I safety component requiring conformity assessment (Art.6(1)).",IF(AND(I8&lt;&gt;"None",OR(J8="Y",K8="N")),"Annex III domain ('"&amp;I8&amp;"') with profiling and/or no valid derogation (Art.6(2)-(4)).",IF(L8="Y",IF(N(M8)&gt;=[1]Config!$B$5,"GPAI above systemic-risk compute threshold (Art.51(2),55).","GPAI below systemic-risk threshold (Art.51-53)."),IF(N8="Y","Direct interaction / synthetic content / emotion or biometric trigger (Art.50).","No triggers identified.")))))))</f>
        <v/>
      </c>
      <c r="R8" s="44"/>
      <c r="S8" s="47"/>
      <c r="T8" s="44"/>
    </row>
    <row r="9" spans="1:20" x14ac:dyDescent="0.3">
      <c r="A9" s="44"/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  <c r="M9" s="45"/>
      <c r="N9" s="44"/>
      <c r="O9" s="46" t="str">
        <f>IF(A9="","",IF(F9="N","Out of EU AI Act Scope",IF(G9="Y","Prohibited (Art.5)",IF(H9="Y","High-Risk (Annex I)",IF(AND(I9&lt;&gt;"None",OR(J9="Y",K9="N")),"High-Risk (Annex III)",IF(L9="Y",IF(N(M9)&gt;=[1]Config!$B$5,"GPAI with Systemic Risk","GPAI"),IF(N9="Y","Limited Risk (Art.50)","Minimal Risk")))))))</f>
        <v/>
      </c>
      <c r="P9" s="46" t="str">
        <f>IF(O9="","",INDEX([1]Decision_Logic!$A$18:$A$21,MATCH(INDEX([1]Config!$B$9:$B$16,MATCH(O9,[1]Config!$A$9:$A$16,0)),{0;1;2;3},0)))</f>
        <v/>
      </c>
      <c r="Q9" s="46" t="str">
        <f>IF(A9="","",IF(F9="N","No EU nexus declared (Art.2).",IF(G9="Y","Art.5 prohibited practice indicated (Art.5) – escalate to Legal.",IF(H9="Y","Annex I safety component requiring conformity assessment (Art.6(1)).",IF(AND(I9&lt;&gt;"None",OR(J9="Y",K9="N")),"Annex III domain ('"&amp;I9&amp;"') with profiling and/or no valid derogation (Art.6(2)-(4)).",IF(L9="Y",IF(N(M9)&gt;=[1]Config!$B$5,"GPAI above systemic-risk compute threshold (Art.51(2),55).","GPAI below systemic-risk threshold (Art.51-53)."),IF(N9="Y","Direct interaction / synthetic content / emotion or biometric trigger (Art.50).","No triggers identified.")))))))</f>
        <v/>
      </c>
      <c r="R9" s="44"/>
      <c r="S9" s="47"/>
      <c r="T9" s="44"/>
    </row>
    <row r="10" spans="1:20" x14ac:dyDescent="0.3">
      <c r="A10" s="44"/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5"/>
      <c r="N10" s="44"/>
      <c r="O10" s="46" t="str">
        <f>IF(A10="","",IF(F10="N","Out of EU AI Act Scope",IF(G10="Y","Prohibited (Art.5)",IF(H10="Y","High-Risk (Annex I)",IF(AND(I10&lt;&gt;"None",OR(J10="Y",K10="N")),"High-Risk (Annex III)",IF(L10="Y",IF(N(M10)&gt;=[1]Config!$B$5,"GPAI with Systemic Risk","GPAI"),IF(N10="Y","Limited Risk (Art.50)","Minimal Risk")))))))</f>
        <v/>
      </c>
      <c r="P10" s="46" t="str">
        <f>IF(O10="","",INDEX([1]Decision_Logic!$A$18:$A$21,MATCH(INDEX([1]Config!$B$9:$B$16,MATCH(O10,[1]Config!$A$9:$A$16,0)),{0;1;2;3},0)))</f>
        <v/>
      </c>
      <c r="Q10" s="46" t="str">
        <f>IF(A10="","",IF(F10="N","No EU nexus declared (Art.2).",IF(G10="Y","Art.5 prohibited practice indicated (Art.5) – escalate to Legal.",IF(H10="Y","Annex I safety component requiring conformity assessment (Art.6(1)).",IF(AND(I10&lt;&gt;"None",OR(J10="Y",K10="N")),"Annex III domain ('"&amp;I10&amp;"') with profiling and/or no valid derogation (Art.6(2)-(4)).",IF(L10="Y",IF(N(M10)&gt;=[1]Config!$B$5,"GPAI above systemic-risk compute threshold (Art.51(2),55).","GPAI below systemic-risk threshold (Art.51-53)."),IF(N10="Y","Direct interaction / synthetic content / emotion or biometric trigger (Art.50).","No triggers identified.")))))))</f>
        <v/>
      </c>
      <c r="R10" s="44"/>
      <c r="S10" s="47"/>
      <c r="T10" s="44"/>
    </row>
    <row r="11" spans="1:20" x14ac:dyDescent="0.3">
      <c r="A11" s="44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5"/>
      <c r="N11" s="44"/>
      <c r="O11" s="46" t="str">
        <f>IF(A11="","",IF(F11="N","Out of EU AI Act Scope",IF(G11="Y","Prohibited (Art.5)",IF(H11="Y","High-Risk (Annex I)",IF(AND(I11&lt;&gt;"None",OR(J11="Y",K11="N")),"High-Risk (Annex III)",IF(L11="Y",IF(N(M11)&gt;=[1]Config!$B$5,"GPAI with Systemic Risk","GPAI"),IF(N11="Y","Limited Risk (Art.50)","Minimal Risk")))))))</f>
        <v/>
      </c>
      <c r="P11" s="46" t="str">
        <f>IF(O11="","",INDEX([1]Decision_Logic!$A$18:$A$21,MATCH(INDEX([1]Config!$B$9:$B$16,MATCH(O11,[1]Config!$A$9:$A$16,0)),{0;1;2;3},0)))</f>
        <v/>
      </c>
      <c r="Q11" s="46" t="str">
        <f>IF(A11="","",IF(F11="N","No EU nexus declared (Art.2).",IF(G11="Y","Art.5 prohibited practice indicated (Art.5) – escalate to Legal.",IF(H11="Y","Annex I safety component requiring conformity assessment (Art.6(1)).",IF(AND(I11&lt;&gt;"None",OR(J11="Y",K11="N")),"Annex III domain ('"&amp;I11&amp;"') with profiling and/or no valid derogation (Art.6(2)-(4)).",IF(L11="Y",IF(N(M11)&gt;=[1]Config!$B$5,"GPAI above systemic-risk compute threshold (Art.51(2),55).","GPAI below systemic-risk threshold (Art.51-53)."),IF(N11="Y","Direct interaction / synthetic content / emotion or biometric trigger (Art.50).","No triggers identified.")))))))</f>
        <v/>
      </c>
      <c r="R11" s="44"/>
      <c r="S11" s="47"/>
      <c r="T11" s="44"/>
    </row>
    <row r="12" spans="1:20" x14ac:dyDescent="0.3">
      <c r="A12" s="44"/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5"/>
      <c r="N12" s="44"/>
      <c r="O12" s="46" t="str">
        <f>IF(A12="","",IF(F12="N","Out of EU AI Act Scope",IF(G12="Y","Prohibited (Art.5)",IF(H12="Y","High-Risk (Annex I)",IF(AND(I12&lt;&gt;"None",OR(J12="Y",K12="N")),"High-Risk (Annex III)",IF(L12="Y",IF(N(M12)&gt;=[1]Config!$B$5,"GPAI with Systemic Risk","GPAI"),IF(N12="Y","Limited Risk (Art.50)","Minimal Risk")))))))</f>
        <v/>
      </c>
      <c r="P12" s="46" t="str">
        <f>IF(O12="","",INDEX([1]Decision_Logic!$A$18:$A$21,MATCH(INDEX([1]Config!$B$9:$B$16,MATCH(O12,[1]Config!$A$9:$A$16,0)),{0;1;2;3},0)))</f>
        <v/>
      </c>
      <c r="Q12" s="46" t="str">
        <f>IF(A12="","",IF(F12="N","No EU nexus declared (Art.2).",IF(G12="Y","Art.5 prohibited practice indicated (Art.5) – escalate to Legal.",IF(H12="Y","Annex I safety component requiring conformity assessment (Art.6(1)).",IF(AND(I12&lt;&gt;"None",OR(J12="Y",K12="N")),"Annex III domain ('"&amp;I12&amp;"') with profiling and/or no valid derogation (Art.6(2)-(4)).",IF(L12="Y",IF(N(M12)&gt;=[1]Config!$B$5,"GPAI above systemic-risk compute threshold (Art.51(2),55).","GPAI below systemic-risk threshold (Art.51-53)."),IF(N12="Y","Direct interaction / synthetic content / emotion or biometric trigger (Art.50).","No triggers identified.")))))))</f>
        <v/>
      </c>
      <c r="R12" s="44"/>
      <c r="S12" s="47"/>
      <c r="T12" s="44"/>
    </row>
    <row r="13" spans="1:20" x14ac:dyDescent="0.3">
      <c r="A13" s="44"/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5"/>
      <c r="N13" s="44"/>
      <c r="O13" s="46" t="str">
        <f>IF(A13="","",IF(F13="N","Out of EU AI Act Scope",IF(G13="Y","Prohibited (Art.5)",IF(H13="Y","High-Risk (Annex I)",IF(AND(I13&lt;&gt;"None",OR(J13="Y",K13="N")),"High-Risk (Annex III)",IF(L13="Y",IF(N(M13)&gt;=[1]Config!$B$5,"GPAI with Systemic Risk","GPAI"),IF(N13="Y","Limited Risk (Art.50)","Minimal Risk")))))))</f>
        <v/>
      </c>
      <c r="P13" s="46" t="str">
        <f>IF(O13="","",INDEX([1]Decision_Logic!$A$18:$A$21,MATCH(INDEX([1]Config!$B$9:$B$16,MATCH(O13,[1]Config!$A$9:$A$16,0)),{0;1;2;3},0)))</f>
        <v/>
      </c>
      <c r="Q13" s="46" t="str">
        <f>IF(A13="","",IF(F13="N","No EU nexus declared (Art.2).",IF(G13="Y","Art.5 prohibited practice indicated (Art.5) – escalate to Legal.",IF(H13="Y","Annex I safety component requiring conformity assessment (Art.6(1)).",IF(AND(I13&lt;&gt;"None",OR(J13="Y",K13="N")),"Annex III domain ('"&amp;I13&amp;"') with profiling and/or no valid derogation (Art.6(2)-(4)).",IF(L13="Y",IF(N(M13)&gt;=[1]Config!$B$5,"GPAI above systemic-risk compute threshold (Art.51(2),55).","GPAI below systemic-risk threshold (Art.51-53)."),IF(N13="Y","Direct interaction / synthetic content / emotion or biometric trigger (Art.50).","No triggers identified.")))))))</f>
        <v/>
      </c>
      <c r="R13" s="44"/>
      <c r="S13" s="47"/>
      <c r="T13" s="44"/>
    </row>
    <row r="14" spans="1:20" x14ac:dyDescent="0.3">
      <c r="A14" s="44"/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5"/>
      <c r="N14" s="44"/>
      <c r="O14" s="46" t="str">
        <f>IF(A14="","",IF(F14="N","Out of EU AI Act Scope",IF(G14="Y","Prohibited (Art.5)",IF(H14="Y","High-Risk (Annex I)",IF(AND(I14&lt;&gt;"None",OR(J14="Y",K14="N")),"High-Risk (Annex III)",IF(L14="Y",IF(N(M14)&gt;=[1]Config!$B$5,"GPAI with Systemic Risk","GPAI"),IF(N14="Y","Limited Risk (Art.50)","Minimal Risk")))))))</f>
        <v/>
      </c>
      <c r="P14" s="46" t="str">
        <f>IF(O14="","",INDEX([1]Decision_Logic!$A$18:$A$21,MATCH(INDEX([1]Config!$B$9:$B$16,MATCH(O14,[1]Config!$A$9:$A$16,0)),{0;1;2;3},0)))</f>
        <v/>
      </c>
      <c r="Q14" s="46" t="str">
        <f>IF(A14="","",IF(F14="N","No EU nexus declared (Art.2).",IF(G14="Y","Art.5 prohibited practice indicated (Art.5) – escalate to Legal.",IF(H14="Y","Annex I safety component requiring conformity assessment (Art.6(1)).",IF(AND(I14&lt;&gt;"None",OR(J14="Y",K14="N")),"Annex III domain ('"&amp;I14&amp;"') with profiling and/or no valid derogation (Art.6(2)-(4)).",IF(L14="Y",IF(N(M14)&gt;=[1]Config!$B$5,"GPAI above systemic-risk compute threshold (Art.51(2),55).","GPAI below systemic-risk threshold (Art.51-53)."),IF(N14="Y","Direct interaction / synthetic content / emotion or biometric trigger (Art.50).","No triggers identified.")))))))</f>
        <v/>
      </c>
      <c r="R14" s="44"/>
      <c r="S14" s="47"/>
      <c r="T14" s="44"/>
    </row>
    <row r="15" spans="1:20" x14ac:dyDescent="0.3">
      <c r="A15" s="44"/>
      <c r="B15" s="44"/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5"/>
      <c r="N15" s="44"/>
      <c r="O15" s="46" t="str">
        <f>IF(A15="","",IF(F15="N","Out of EU AI Act Scope",IF(G15="Y","Prohibited (Art.5)",IF(H15="Y","High-Risk (Annex I)",IF(AND(I15&lt;&gt;"None",OR(J15="Y",K15="N")),"High-Risk (Annex III)",IF(L15="Y",IF(N(M15)&gt;=[1]Config!$B$5,"GPAI with Systemic Risk","GPAI"),IF(N15="Y","Limited Risk (Art.50)","Minimal Risk")))))))</f>
        <v/>
      </c>
      <c r="P15" s="46" t="str">
        <f>IF(O15="","",INDEX([1]Decision_Logic!$A$18:$A$21,MATCH(INDEX([1]Config!$B$9:$B$16,MATCH(O15,[1]Config!$A$9:$A$16,0)),{0;1;2;3},0)))</f>
        <v/>
      </c>
      <c r="Q15" s="46" t="str">
        <f>IF(A15="","",IF(F15="N","No EU nexus declared (Art.2).",IF(G15="Y","Art.5 prohibited practice indicated (Art.5) – escalate to Legal.",IF(H15="Y","Annex I safety component requiring conformity assessment (Art.6(1)).",IF(AND(I15&lt;&gt;"None",OR(J15="Y",K15="N")),"Annex III domain ('"&amp;I15&amp;"') with profiling and/or no valid derogation (Art.6(2)-(4)).",IF(L15="Y",IF(N(M15)&gt;=[1]Config!$B$5,"GPAI above systemic-risk compute threshold (Art.51(2),55).","GPAI below systemic-risk threshold (Art.51-53)."),IF(N15="Y","Direct interaction / synthetic content / emotion or biometric trigger (Art.50).","No triggers identified.")))))))</f>
        <v/>
      </c>
      <c r="R15" s="44"/>
      <c r="S15" s="47"/>
      <c r="T15" s="44"/>
    </row>
    <row r="16" spans="1:20" x14ac:dyDescent="0.3">
      <c r="A16" s="44"/>
      <c r="B16" s="44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5"/>
      <c r="N16" s="44"/>
      <c r="O16" s="46" t="str">
        <f>IF(A16="","",IF(F16="N","Out of EU AI Act Scope",IF(G16="Y","Prohibited (Art.5)",IF(H16="Y","High-Risk (Annex I)",IF(AND(I16&lt;&gt;"None",OR(J16="Y",K16="N")),"High-Risk (Annex III)",IF(L16="Y",IF(N(M16)&gt;=[1]Config!$B$5,"GPAI with Systemic Risk","GPAI"),IF(N16="Y","Limited Risk (Art.50)","Minimal Risk")))))))</f>
        <v/>
      </c>
      <c r="P16" s="46" t="str">
        <f>IF(O16="","",INDEX([1]Decision_Logic!$A$18:$A$21,MATCH(INDEX([1]Config!$B$9:$B$16,MATCH(O16,[1]Config!$A$9:$A$16,0)),{0;1;2;3},0)))</f>
        <v/>
      </c>
      <c r="Q16" s="46" t="str">
        <f>IF(A16="","",IF(F16="N","No EU nexus declared (Art.2).",IF(G16="Y","Art.5 prohibited practice indicated (Art.5) – escalate to Legal.",IF(H16="Y","Annex I safety component requiring conformity assessment (Art.6(1)).",IF(AND(I16&lt;&gt;"None",OR(J16="Y",K16="N")),"Annex III domain ('"&amp;I16&amp;"') with profiling and/or no valid derogation (Art.6(2)-(4)).",IF(L16="Y",IF(N(M16)&gt;=[1]Config!$B$5,"GPAI above systemic-risk compute threshold (Art.51(2),55).","GPAI below systemic-risk threshold (Art.51-53)."),IF(N16="Y","Direct interaction / synthetic content / emotion or biometric trigger (Art.50).","No triggers identified.")))))))</f>
        <v/>
      </c>
      <c r="R16" s="44"/>
      <c r="S16" s="47"/>
      <c r="T16" s="44"/>
    </row>
    <row r="17" spans="1:20" x14ac:dyDescent="0.3">
      <c r="A17" s="44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5"/>
      <c r="N17" s="44"/>
      <c r="O17" s="46" t="str">
        <f>IF(A17="","",IF(F17="N","Out of EU AI Act Scope",IF(G17="Y","Prohibited (Art.5)",IF(H17="Y","High-Risk (Annex I)",IF(AND(I17&lt;&gt;"None",OR(J17="Y",K17="N")),"High-Risk (Annex III)",IF(L17="Y",IF(N(M17)&gt;=[1]Config!$B$5,"GPAI with Systemic Risk","GPAI"),IF(N17="Y","Limited Risk (Art.50)","Minimal Risk")))))))</f>
        <v/>
      </c>
      <c r="P17" s="46" t="str">
        <f>IF(O17="","",INDEX([1]Decision_Logic!$A$18:$A$21,MATCH(INDEX([1]Config!$B$9:$B$16,MATCH(O17,[1]Config!$A$9:$A$16,0)),{0;1;2;3},0)))</f>
        <v/>
      </c>
      <c r="Q17" s="46" t="str">
        <f>IF(A17="","",IF(F17="N","No EU nexus declared (Art.2).",IF(G17="Y","Art.5 prohibited practice indicated (Art.5) – escalate to Legal.",IF(H17="Y","Annex I safety component requiring conformity assessment (Art.6(1)).",IF(AND(I17&lt;&gt;"None",OR(J17="Y",K17="N")),"Annex III domain ('"&amp;I17&amp;"') with profiling and/or no valid derogation (Art.6(2)-(4)).",IF(L17="Y",IF(N(M17)&gt;=[1]Config!$B$5,"GPAI above systemic-risk compute threshold (Art.51(2),55).","GPAI below systemic-risk threshold (Art.51-53)."),IF(N17="Y","Direct interaction / synthetic content / emotion or biometric trigger (Art.50).","No triggers identified.")))))))</f>
        <v/>
      </c>
      <c r="R17" s="44"/>
      <c r="S17" s="47"/>
      <c r="T17" s="44"/>
    </row>
    <row r="18" spans="1:20" x14ac:dyDescent="0.3">
      <c r="A18" s="44"/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5"/>
      <c r="N18" s="44"/>
      <c r="O18" s="46" t="str">
        <f>IF(A18="","",IF(F18="N","Out of EU AI Act Scope",IF(G18="Y","Prohibited (Art.5)",IF(H18="Y","High-Risk (Annex I)",IF(AND(I18&lt;&gt;"None",OR(J18="Y",K18="N")),"High-Risk (Annex III)",IF(L18="Y",IF(N(M18)&gt;=[1]Config!$B$5,"GPAI with Systemic Risk","GPAI"),IF(N18="Y","Limited Risk (Art.50)","Minimal Risk")))))))</f>
        <v/>
      </c>
      <c r="P18" s="46" t="str">
        <f>IF(O18="","",INDEX([1]Decision_Logic!$A$18:$A$21,MATCH(INDEX([1]Config!$B$9:$B$16,MATCH(O18,[1]Config!$A$9:$A$16,0)),{0;1;2;3},0)))</f>
        <v/>
      </c>
      <c r="Q18" s="46" t="str">
        <f>IF(A18="","",IF(F18="N","No EU nexus declared (Art.2).",IF(G18="Y","Art.5 prohibited practice indicated (Art.5) – escalate to Legal.",IF(H18="Y","Annex I safety component requiring conformity assessment (Art.6(1)).",IF(AND(I18&lt;&gt;"None",OR(J18="Y",K18="N")),"Annex III domain ('"&amp;I18&amp;"') with profiling and/or no valid derogation (Art.6(2)-(4)).",IF(L18="Y",IF(N(M18)&gt;=[1]Config!$B$5,"GPAI above systemic-risk compute threshold (Art.51(2),55).","GPAI below systemic-risk threshold (Art.51-53)."),IF(N18="Y","Direct interaction / synthetic content / emotion or biometric trigger (Art.50).","No triggers identified.")))))))</f>
        <v/>
      </c>
      <c r="R18" s="44"/>
      <c r="S18" s="47"/>
      <c r="T18" s="44"/>
    </row>
    <row r="19" spans="1:20" x14ac:dyDescent="0.3">
      <c r="A19" s="44"/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5"/>
      <c r="N19" s="44"/>
      <c r="O19" s="46" t="str">
        <f>IF(A19="","",IF(F19="N","Out of EU AI Act Scope",IF(G19="Y","Prohibited (Art.5)",IF(H19="Y","High-Risk (Annex I)",IF(AND(I19&lt;&gt;"None",OR(J19="Y",K19="N")),"High-Risk (Annex III)",IF(L19="Y",IF(N(M19)&gt;=[1]Config!$B$5,"GPAI with Systemic Risk","GPAI"),IF(N19="Y","Limited Risk (Art.50)","Minimal Risk")))))))</f>
        <v/>
      </c>
      <c r="P19" s="46" t="str">
        <f>IF(O19="","",INDEX([1]Decision_Logic!$A$18:$A$21,MATCH(INDEX([1]Config!$B$9:$B$16,MATCH(O19,[1]Config!$A$9:$A$16,0)),{0;1;2;3},0)))</f>
        <v/>
      </c>
      <c r="Q19" s="46" t="str">
        <f>IF(A19="","",IF(F19="N","No EU nexus declared (Art.2).",IF(G19="Y","Art.5 prohibited practice indicated (Art.5) – escalate to Legal.",IF(H19="Y","Annex I safety component requiring conformity assessment (Art.6(1)).",IF(AND(I19&lt;&gt;"None",OR(J19="Y",K19="N")),"Annex III domain ('"&amp;I19&amp;"') with profiling and/or no valid derogation (Art.6(2)-(4)).",IF(L19="Y",IF(N(M19)&gt;=[1]Config!$B$5,"GPAI above systemic-risk compute threshold (Art.51(2),55).","GPAI below systemic-risk threshold (Art.51-53)."),IF(N19="Y","Direct interaction / synthetic content / emotion or biometric trigger (Art.50).","No triggers identified.")))))))</f>
        <v/>
      </c>
      <c r="R19" s="44"/>
      <c r="S19" s="47"/>
      <c r="T19" s="44"/>
    </row>
    <row r="20" spans="1:20" x14ac:dyDescent="0.3">
      <c r="A20" s="44"/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5"/>
      <c r="N20" s="44"/>
      <c r="O20" s="46" t="str">
        <f>IF(A20="","",IF(F20="N","Out of EU AI Act Scope",IF(G20="Y","Prohibited (Art.5)",IF(H20="Y","High-Risk (Annex I)",IF(AND(I20&lt;&gt;"None",OR(J20="Y",K20="N")),"High-Risk (Annex III)",IF(L20="Y",IF(N(M20)&gt;=[1]Config!$B$5,"GPAI with Systemic Risk","GPAI"),IF(N20="Y","Limited Risk (Art.50)","Minimal Risk")))))))</f>
        <v/>
      </c>
      <c r="P20" s="46" t="str">
        <f>IF(O20="","",INDEX([1]Decision_Logic!$A$18:$A$21,MATCH(INDEX([1]Config!$B$9:$B$16,MATCH(O20,[1]Config!$A$9:$A$16,0)),{0;1;2;3},0)))</f>
        <v/>
      </c>
      <c r="Q20" s="46" t="str">
        <f>IF(A20="","",IF(F20="N","No EU nexus declared (Art.2).",IF(G20="Y","Art.5 prohibited practice indicated (Art.5) – escalate to Legal.",IF(H20="Y","Annex I safety component requiring conformity assessment (Art.6(1)).",IF(AND(I20&lt;&gt;"None",OR(J20="Y",K20="N")),"Annex III domain ('"&amp;I20&amp;"') with profiling and/or no valid derogation (Art.6(2)-(4)).",IF(L20="Y",IF(N(M20)&gt;=[1]Config!$B$5,"GPAI above systemic-risk compute threshold (Art.51(2),55).","GPAI below systemic-risk threshold (Art.51-53)."),IF(N20="Y","Direct interaction / synthetic content / emotion or biometric trigger (Art.50).","No triggers identified.")))))))</f>
        <v/>
      </c>
      <c r="R20" s="44"/>
      <c r="S20" s="47"/>
      <c r="T20" s="44"/>
    </row>
    <row r="21" spans="1:20" x14ac:dyDescent="0.3">
      <c r="A21" s="44"/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5"/>
      <c r="N21" s="44"/>
      <c r="O21" s="46" t="str">
        <f>IF(A21="","",IF(F21="N","Out of EU AI Act Scope",IF(G21="Y","Prohibited (Art.5)",IF(H21="Y","High-Risk (Annex I)",IF(AND(I21&lt;&gt;"None",OR(J21="Y",K21="N")),"High-Risk (Annex III)",IF(L21="Y",IF(N(M21)&gt;=[1]Config!$B$5,"GPAI with Systemic Risk","GPAI"),IF(N21="Y","Limited Risk (Art.50)","Minimal Risk")))))))</f>
        <v/>
      </c>
      <c r="P21" s="46" t="str">
        <f>IF(O21="","",INDEX([1]Decision_Logic!$A$18:$A$21,MATCH(INDEX([1]Config!$B$9:$B$16,MATCH(O21,[1]Config!$A$9:$A$16,0)),{0;1;2;3},0)))</f>
        <v/>
      </c>
      <c r="Q21" s="46" t="str">
        <f>IF(A21="","",IF(F21="N","No EU nexus declared (Art.2).",IF(G21="Y","Art.5 prohibited practice indicated (Art.5) – escalate to Legal.",IF(H21="Y","Annex I safety component requiring conformity assessment (Art.6(1)).",IF(AND(I21&lt;&gt;"None",OR(J21="Y",K21="N")),"Annex III domain ('"&amp;I21&amp;"') with profiling and/or no valid derogation (Art.6(2)-(4)).",IF(L21="Y",IF(N(M21)&gt;=[1]Config!$B$5,"GPAI above systemic-risk compute threshold (Art.51(2),55).","GPAI below systemic-risk threshold (Art.51-53)."),IF(N21="Y","Direct interaction / synthetic content / emotion or biometric trigger (Art.50).","No triggers identified.")))))))</f>
        <v/>
      </c>
      <c r="R21" s="44"/>
      <c r="S21" s="47"/>
      <c r="T21" s="44"/>
    </row>
    <row r="22" spans="1:20" x14ac:dyDescent="0.3">
      <c r="A22" s="44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5"/>
      <c r="N22" s="44"/>
      <c r="O22" s="46" t="str">
        <f>IF(A22="","",IF(F22="N","Out of EU AI Act Scope",IF(G22="Y","Prohibited (Art.5)",IF(H22="Y","High-Risk (Annex I)",IF(AND(I22&lt;&gt;"None",OR(J22="Y",K22="N")),"High-Risk (Annex III)",IF(L22="Y",IF(N(M22)&gt;=[1]Config!$B$5,"GPAI with Systemic Risk","GPAI"),IF(N22="Y","Limited Risk (Art.50)","Minimal Risk")))))))</f>
        <v/>
      </c>
      <c r="P22" s="46" t="str">
        <f>IF(O22="","",INDEX([1]Decision_Logic!$A$18:$A$21,MATCH(INDEX([1]Config!$B$9:$B$16,MATCH(O22,[1]Config!$A$9:$A$16,0)),{0;1;2;3},0)))</f>
        <v/>
      </c>
      <c r="Q22" s="46" t="str">
        <f>IF(A22="","",IF(F22="N","No EU nexus declared (Art.2).",IF(G22="Y","Art.5 prohibited practice indicated (Art.5) – escalate to Legal.",IF(H22="Y","Annex I safety component requiring conformity assessment (Art.6(1)).",IF(AND(I22&lt;&gt;"None",OR(J22="Y",K22="N")),"Annex III domain ('"&amp;I22&amp;"') with profiling and/or no valid derogation (Art.6(2)-(4)).",IF(L22="Y",IF(N(M22)&gt;=[1]Config!$B$5,"GPAI above systemic-risk compute threshold (Art.51(2),55).","GPAI below systemic-risk threshold (Art.51-53)."),IF(N22="Y","Direct interaction / synthetic content / emotion or biometric trigger (Art.50).","No triggers identified.")))))))</f>
        <v/>
      </c>
      <c r="R22" s="44"/>
      <c r="S22" s="47"/>
      <c r="T22" s="44"/>
    </row>
    <row r="23" spans="1:20" x14ac:dyDescent="0.3">
      <c r="A23" s="44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5"/>
      <c r="N23" s="44"/>
      <c r="O23" s="46" t="str">
        <f>IF(A23="","",IF(F23="N","Out of EU AI Act Scope",IF(G23="Y","Prohibited (Art.5)",IF(H23="Y","High-Risk (Annex I)",IF(AND(I23&lt;&gt;"None",OR(J23="Y",K23="N")),"High-Risk (Annex III)",IF(L23="Y",IF(N(M23)&gt;=[1]Config!$B$5,"GPAI with Systemic Risk","GPAI"),IF(N23="Y","Limited Risk (Art.50)","Minimal Risk")))))))</f>
        <v/>
      </c>
      <c r="P23" s="46" t="str">
        <f>IF(O23="","",INDEX([1]Decision_Logic!$A$18:$A$21,MATCH(INDEX([1]Config!$B$9:$B$16,MATCH(O23,[1]Config!$A$9:$A$16,0)),{0;1;2;3},0)))</f>
        <v/>
      </c>
      <c r="Q23" s="46" t="str">
        <f>IF(A23="","",IF(F23="N","No EU nexus declared (Art.2).",IF(G23="Y","Art.5 prohibited practice indicated (Art.5) – escalate to Legal.",IF(H23="Y","Annex I safety component requiring conformity assessment (Art.6(1)).",IF(AND(I23&lt;&gt;"None",OR(J23="Y",K23="N")),"Annex III domain ('"&amp;I23&amp;"') with profiling and/or no valid derogation (Art.6(2)-(4)).",IF(L23="Y",IF(N(M23)&gt;=[1]Config!$B$5,"GPAI above systemic-risk compute threshold (Art.51(2),55).","GPAI below systemic-risk threshold (Art.51-53)."),IF(N23="Y","Direct interaction / synthetic content / emotion or biometric trigger (Art.50).","No triggers identified.")))))))</f>
        <v/>
      </c>
      <c r="R23" s="44"/>
      <c r="S23" s="47"/>
      <c r="T23" s="44"/>
    </row>
    <row r="24" spans="1:20" x14ac:dyDescent="0.3">
      <c r="A24" s="44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5"/>
      <c r="N24" s="44"/>
      <c r="O24" s="46" t="str">
        <f>IF(A24="","",IF(F24="N","Out of EU AI Act Scope",IF(G24="Y","Prohibited (Art.5)",IF(H24="Y","High-Risk (Annex I)",IF(AND(I24&lt;&gt;"None",OR(J24="Y",K24="N")),"High-Risk (Annex III)",IF(L24="Y",IF(N(M24)&gt;=[1]Config!$B$5,"GPAI with Systemic Risk","GPAI"),IF(N24="Y","Limited Risk (Art.50)","Minimal Risk")))))))</f>
        <v/>
      </c>
      <c r="P24" s="46" t="str">
        <f>IF(O24="","",INDEX([1]Decision_Logic!$A$18:$A$21,MATCH(INDEX([1]Config!$B$9:$B$16,MATCH(O24,[1]Config!$A$9:$A$16,0)),{0;1;2;3},0)))</f>
        <v/>
      </c>
      <c r="Q24" s="46" t="str">
        <f>IF(A24="","",IF(F24="N","No EU nexus declared (Art.2).",IF(G24="Y","Art.5 prohibited practice indicated (Art.5) – escalate to Legal.",IF(H24="Y","Annex I safety component requiring conformity assessment (Art.6(1)).",IF(AND(I24&lt;&gt;"None",OR(J24="Y",K24="N")),"Annex III domain ('"&amp;I24&amp;"') with profiling and/or no valid derogation (Art.6(2)-(4)).",IF(L24="Y",IF(N(M24)&gt;=[1]Config!$B$5,"GPAI above systemic-risk compute threshold (Art.51(2),55).","GPAI below systemic-risk threshold (Art.51-53)."),IF(N24="Y","Direct interaction / synthetic content / emotion or biometric trigger (Art.50).","No triggers identified.")))))))</f>
        <v/>
      </c>
      <c r="R24" s="44"/>
      <c r="S24" s="47"/>
      <c r="T24" s="44"/>
    </row>
    <row r="25" spans="1:20" x14ac:dyDescent="0.3">
      <c r="A25" s="44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5"/>
      <c r="N25" s="44"/>
      <c r="O25" s="46" t="str">
        <f>IF(A25="","",IF(F25="N","Out of EU AI Act Scope",IF(G25="Y","Prohibited (Art.5)",IF(H25="Y","High-Risk (Annex I)",IF(AND(I25&lt;&gt;"None",OR(J25="Y",K25="N")),"High-Risk (Annex III)",IF(L25="Y",IF(N(M25)&gt;=[1]Config!$B$5,"GPAI with Systemic Risk","GPAI"),IF(N25="Y","Limited Risk (Art.50)","Minimal Risk")))))))</f>
        <v/>
      </c>
      <c r="P25" s="46" t="str">
        <f>IF(O25="","",INDEX([1]Decision_Logic!$A$18:$A$21,MATCH(INDEX([1]Config!$B$9:$B$16,MATCH(O25,[1]Config!$A$9:$A$16,0)),{0;1;2;3},0)))</f>
        <v/>
      </c>
      <c r="Q25" s="46" t="str">
        <f>IF(A25="","",IF(F25="N","No EU nexus declared (Art.2).",IF(G25="Y","Art.5 prohibited practice indicated (Art.5) – escalate to Legal.",IF(H25="Y","Annex I safety component requiring conformity assessment (Art.6(1)).",IF(AND(I25&lt;&gt;"None",OR(J25="Y",K25="N")),"Annex III domain ('"&amp;I25&amp;"') with profiling and/or no valid derogation (Art.6(2)-(4)).",IF(L25="Y",IF(N(M25)&gt;=[1]Config!$B$5,"GPAI above systemic-risk compute threshold (Art.51(2),55).","GPAI below systemic-risk threshold (Art.51-53)."),IF(N25="Y","Direct interaction / synthetic content / emotion or biometric trigger (Art.50).","No triggers identified.")))))))</f>
        <v/>
      </c>
      <c r="R25" s="44"/>
      <c r="S25" s="47"/>
      <c r="T25" s="44"/>
    </row>
    <row r="26" spans="1:20" x14ac:dyDescent="0.3">
      <c r="A26" s="44"/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5"/>
      <c r="N26" s="44"/>
      <c r="O26" s="46" t="str">
        <f>IF(A26="","",IF(F26="N","Out of EU AI Act Scope",IF(G26="Y","Prohibited (Art.5)",IF(H26="Y","High-Risk (Annex I)",IF(AND(I26&lt;&gt;"None",OR(J26="Y",K26="N")),"High-Risk (Annex III)",IF(L26="Y",IF(N(M26)&gt;=[1]Config!$B$5,"GPAI with Systemic Risk","GPAI"),IF(N26="Y","Limited Risk (Art.50)","Minimal Risk")))))))</f>
        <v/>
      </c>
      <c r="P26" s="46" t="str">
        <f>IF(O26="","",INDEX([1]Decision_Logic!$A$18:$A$21,MATCH(INDEX([1]Config!$B$9:$B$16,MATCH(O26,[1]Config!$A$9:$A$16,0)),{0;1;2;3},0)))</f>
        <v/>
      </c>
      <c r="Q26" s="46" t="str">
        <f>IF(A26="","",IF(F26="N","No EU nexus declared (Art.2).",IF(G26="Y","Art.5 prohibited practice indicated (Art.5) – escalate to Legal.",IF(H26="Y","Annex I safety component requiring conformity assessment (Art.6(1)).",IF(AND(I26&lt;&gt;"None",OR(J26="Y",K26="N")),"Annex III domain ('"&amp;I26&amp;"') with profiling and/or no valid derogation (Art.6(2)-(4)).",IF(L26="Y",IF(N(M26)&gt;=[1]Config!$B$5,"GPAI above systemic-risk compute threshold (Art.51(2),55).","GPAI below systemic-risk threshold (Art.51-53)."),IF(N26="Y","Direct interaction / synthetic content / emotion or biometric trigger (Art.50).","No triggers identified.")))))))</f>
        <v/>
      </c>
      <c r="R26" s="44"/>
      <c r="S26" s="47"/>
      <c r="T26" s="44"/>
    </row>
    <row r="27" spans="1:20" x14ac:dyDescent="0.3">
      <c r="A27" s="44"/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5"/>
      <c r="N27" s="44"/>
      <c r="O27" s="46" t="str">
        <f>IF(A27="","",IF(F27="N","Out of EU AI Act Scope",IF(G27="Y","Prohibited (Art.5)",IF(H27="Y","High-Risk (Annex I)",IF(AND(I27&lt;&gt;"None",OR(J27="Y",K27="N")),"High-Risk (Annex III)",IF(L27="Y",IF(N(M27)&gt;=[1]Config!$B$5,"GPAI with Systemic Risk","GPAI"),IF(N27="Y","Limited Risk (Art.50)","Minimal Risk")))))))</f>
        <v/>
      </c>
      <c r="P27" s="46" t="str">
        <f>IF(O27="","",INDEX([1]Decision_Logic!$A$18:$A$21,MATCH(INDEX([1]Config!$B$9:$B$16,MATCH(O27,[1]Config!$A$9:$A$16,0)),{0;1;2;3},0)))</f>
        <v/>
      </c>
      <c r="Q27" s="46" t="str">
        <f>IF(A27="","",IF(F27="N","No EU nexus declared (Art.2).",IF(G27="Y","Art.5 prohibited practice indicated (Art.5) – escalate to Legal.",IF(H27="Y","Annex I safety component requiring conformity assessment (Art.6(1)).",IF(AND(I27&lt;&gt;"None",OR(J27="Y",K27="N")),"Annex III domain ('"&amp;I27&amp;"') with profiling and/or no valid derogation (Art.6(2)-(4)).",IF(L27="Y",IF(N(M27)&gt;=[1]Config!$B$5,"GPAI above systemic-risk compute threshold (Art.51(2),55).","GPAI below systemic-risk threshold (Art.51-53)."),IF(N27="Y","Direct interaction / synthetic content / emotion or biometric trigger (Art.50).","No triggers identified.")))))))</f>
        <v/>
      </c>
      <c r="R27" s="44"/>
      <c r="S27" s="47"/>
      <c r="T27" s="44"/>
    </row>
    <row r="28" spans="1:20" x14ac:dyDescent="0.3">
      <c r="A28" s="44"/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5"/>
      <c r="N28" s="44"/>
      <c r="O28" s="46" t="str">
        <f>IF(A28="","",IF(F28="N","Out of EU AI Act Scope",IF(G28="Y","Prohibited (Art.5)",IF(H28="Y","High-Risk (Annex I)",IF(AND(I28&lt;&gt;"None",OR(J28="Y",K28="N")),"High-Risk (Annex III)",IF(L28="Y",IF(N(M28)&gt;=[1]Config!$B$5,"GPAI with Systemic Risk","GPAI"),IF(N28="Y","Limited Risk (Art.50)","Minimal Risk")))))))</f>
        <v/>
      </c>
      <c r="P28" s="46" t="str">
        <f>IF(O28="","",INDEX([1]Decision_Logic!$A$18:$A$21,MATCH(INDEX([1]Config!$B$9:$B$16,MATCH(O28,[1]Config!$A$9:$A$16,0)),{0;1;2;3},0)))</f>
        <v/>
      </c>
      <c r="Q28" s="46" t="str">
        <f>IF(A28="","",IF(F28="N","No EU nexus declared (Art.2).",IF(G28="Y","Art.5 prohibited practice indicated (Art.5) – escalate to Legal.",IF(H28="Y","Annex I safety component requiring conformity assessment (Art.6(1)).",IF(AND(I28&lt;&gt;"None",OR(J28="Y",K28="N")),"Annex III domain ('"&amp;I28&amp;"') with profiling and/or no valid derogation (Art.6(2)-(4)).",IF(L28="Y",IF(N(M28)&gt;=[1]Config!$B$5,"GPAI above systemic-risk compute threshold (Art.51(2),55).","GPAI below systemic-risk threshold (Art.51-53)."),IF(N28="Y","Direct interaction / synthetic content / emotion or biometric trigger (Art.50).","No triggers identified.")))))))</f>
        <v/>
      </c>
      <c r="R28" s="44"/>
      <c r="S28" s="47"/>
      <c r="T28" s="44"/>
    </row>
    <row r="29" spans="1:20" x14ac:dyDescent="0.3">
      <c r="A29" s="4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5"/>
      <c r="N29" s="44"/>
      <c r="O29" s="46" t="str">
        <f>IF(A29="","",IF(F29="N","Out of EU AI Act Scope",IF(G29="Y","Prohibited (Art.5)",IF(H29="Y","High-Risk (Annex I)",IF(AND(I29&lt;&gt;"None",OR(J29="Y",K29="N")),"High-Risk (Annex III)",IF(L29="Y",IF(N(M29)&gt;=[1]Config!$B$5,"GPAI with Systemic Risk","GPAI"),IF(N29="Y","Limited Risk (Art.50)","Minimal Risk")))))))</f>
        <v/>
      </c>
      <c r="P29" s="46" t="str">
        <f>IF(O29="","",INDEX([1]Decision_Logic!$A$18:$A$21,MATCH(INDEX([1]Config!$B$9:$B$16,MATCH(O29,[1]Config!$A$9:$A$16,0)),{0;1;2;3},0)))</f>
        <v/>
      </c>
      <c r="Q29" s="46" t="str">
        <f>IF(A29="","",IF(F29="N","No EU nexus declared (Art.2).",IF(G29="Y","Art.5 prohibited practice indicated (Art.5) – escalate to Legal.",IF(H29="Y","Annex I safety component requiring conformity assessment (Art.6(1)).",IF(AND(I29&lt;&gt;"None",OR(J29="Y",K29="N")),"Annex III domain ('"&amp;I29&amp;"') with profiling and/or no valid derogation (Art.6(2)-(4)).",IF(L29="Y",IF(N(M29)&gt;=[1]Config!$B$5,"GPAI above systemic-risk compute threshold (Art.51(2),55).","GPAI below systemic-risk threshold (Art.51-53)."),IF(N29="Y","Direct interaction / synthetic content / emotion or biometric trigger (Art.50).","No triggers identified.")))))))</f>
        <v/>
      </c>
      <c r="R29" s="44"/>
      <c r="S29" s="47"/>
      <c r="T29" s="44"/>
    </row>
  </sheetData>
  <conditionalFormatting sqref="O5:O29">
    <cfRule type="expression" dxfId="16" priority="1">
      <formula>LEFT(O5,10)="Prohibited"</formula>
    </cfRule>
    <cfRule type="expression" dxfId="15" priority="2">
      <formula>LEFT(O5,9)="High-Risk"</formula>
    </cfRule>
    <cfRule type="expression" dxfId="14" priority="3">
      <formula>LEFT(O5,12)="Minimal Risk"</formula>
    </cfRule>
    <cfRule type="expression" dxfId="13" priority="4">
      <formula>OR(LEFT(O5,5)="GPAI",LEFT(O5,7)="Limited")</formula>
    </cfRule>
  </conditionalFormatting>
  <conditionalFormatting sqref="T5:T29">
    <cfRule type="cellIs" dxfId="12" priority="5" operator="equal">
      <formula>"N"</formula>
    </cfRule>
  </conditionalFormatting>
  <dataValidations count="3">
    <dataValidation type="list" allowBlank="1" sqref="K5:K29" xr:uid="{D2A1B1A0-B26E-4B3A-A33E-F1F8C25E4FE9}">
      <formula1>"Y,N,N.A."</formula1>
      <formula2>0</formula2>
    </dataValidation>
    <dataValidation type="list" allowBlank="1" sqref="I5:I29" xr:uid="{A22091F0-3D56-4A10-AE42-E0F962C848EA}">
      <formula1>"Biometrics,Critical infrastructure,Education,Employment,Essential services,Law enforcement,Migration &amp; border control,Justice &amp; democratic processes,None"</formula1>
      <formula2>0</formula2>
    </dataValidation>
    <dataValidation type="list" allowBlank="1" sqref="T5:T29 N5:N29 L5:L29 J5:J29 F5:H29" xr:uid="{C6566A75-699D-4617-9343-3EF49DDE5E2F}">
      <formula1>"Y,N"</formula1>
      <formula2>0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7B490-B9BE-4B8B-ACBD-8ED67FBC1773}">
  <sheetPr>
    <tabColor theme="9" tint="-0.249977111117893"/>
  </sheetPr>
  <dimension ref="A1:D13"/>
  <sheetViews>
    <sheetView workbookViewId="0">
      <selection activeCell="B8" sqref="B8"/>
    </sheetView>
  </sheetViews>
  <sheetFormatPr defaultColWidth="8.77734375" defaultRowHeight="14.4" x14ac:dyDescent="0.3"/>
  <cols>
    <col min="1" max="1" width="6.109375" customWidth="1"/>
    <col min="2" max="2" width="30" customWidth="1"/>
    <col min="3" max="3" width="66.109375" customWidth="1"/>
    <col min="4" max="4" width="52.109375" customWidth="1"/>
  </cols>
  <sheetData>
    <row r="1" spans="1:4" ht="17.399999999999999" x14ac:dyDescent="0.3">
      <c r="A1" s="38" t="s">
        <v>1789</v>
      </c>
    </row>
    <row r="2" spans="1:4" x14ac:dyDescent="0.3">
      <c r="A2" s="42" t="s">
        <v>1790</v>
      </c>
    </row>
    <row r="4" spans="1:4" x14ac:dyDescent="0.3">
      <c r="A4" s="43" t="s">
        <v>668</v>
      </c>
      <c r="B4" s="43" t="s">
        <v>669</v>
      </c>
      <c r="C4" s="43" t="s">
        <v>1791</v>
      </c>
      <c r="D4" s="43" t="s">
        <v>1792</v>
      </c>
    </row>
    <row r="5" spans="1:4" s="41" customFormat="1" ht="39.6" x14ac:dyDescent="0.3">
      <c r="A5" s="51">
        <v>1</v>
      </c>
      <c r="B5" s="50" t="s">
        <v>672</v>
      </c>
      <c r="C5" s="50" t="s">
        <v>1793</v>
      </c>
      <c r="D5" s="50" t="s">
        <v>1794</v>
      </c>
    </row>
    <row r="6" spans="1:4" s="41" customFormat="1" ht="26.4" x14ac:dyDescent="0.3">
      <c r="A6" s="51">
        <v>2</v>
      </c>
      <c r="B6" s="50" t="s">
        <v>675</v>
      </c>
      <c r="C6" s="50" t="s">
        <v>1795</v>
      </c>
      <c r="D6" s="50" t="s">
        <v>1796</v>
      </c>
    </row>
    <row r="7" spans="1:4" s="41" customFormat="1" ht="39.6" x14ac:dyDescent="0.3">
      <c r="A7" s="51">
        <v>3</v>
      </c>
      <c r="B7" s="50" t="s">
        <v>678</v>
      </c>
      <c r="C7" s="50" t="s">
        <v>1797</v>
      </c>
      <c r="D7" s="50" t="s">
        <v>1798</v>
      </c>
    </row>
    <row r="8" spans="1:4" s="41" customFormat="1" ht="39.6" x14ac:dyDescent="0.3">
      <c r="A8" s="51">
        <v>4</v>
      </c>
      <c r="B8" s="50" t="s">
        <v>1799</v>
      </c>
      <c r="C8" s="50" t="s">
        <v>1800</v>
      </c>
      <c r="D8" s="50" t="s">
        <v>1801</v>
      </c>
    </row>
    <row r="9" spans="1:4" s="41" customFormat="1" ht="52.8" x14ac:dyDescent="0.3">
      <c r="A9" s="51">
        <v>5</v>
      </c>
      <c r="B9" s="50" t="s">
        <v>684</v>
      </c>
      <c r="C9" s="50" t="s">
        <v>1802</v>
      </c>
      <c r="D9" s="50" t="s">
        <v>1803</v>
      </c>
    </row>
    <row r="10" spans="1:4" s="41" customFormat="1" ht="39.6" x14ac:dyDescent="0.3">
      <c r="A10" s="51">
        <v>6</v>
      </c>
      <c r="B10" s="50" t="s">
        <v>687</v>
      </c>
      <c r="C10" s="50" t="s">
        <v>1804</v>
      </c>
      <c r="D10" s="50" t="s">
        <v>1805</v>
      </c>
    </row>
    <row r="11" spans="1:4" s="41" customFormat="1" ht="39.6" x14ac:dyDescent="0.3">
      <c r="A11" s="51">
        <v>7</v>
      </c>
      <c r="B11" s="50" t="s">
        <v>690</v>
      </c>
      <c r="C11" s="50" t="s">
        <v>1806</v>
      </c>
      <c r="D11" s="50" t="s">
        <v>1807</v>
      </c>
    </row>
    <row r="12" spans="1:4" s="41" customFormat="1" ht="39.6" x14ac:dyDescent="0.3">
      <c r="A12" s="51">
        <v>8</v>
      </c>
      <c r="B12" s="50" t="s">
        <v>693</v>
      </c>
      <c r="C12" s="50" t="s">
        <v>1808</v>
      </c>
      <c r="D12" s="50" t="s">
        <v>1809</v>
      </c>
    </row>
    <row r="13" spans="1:4" s="41" customFormat="1" x14ac:dyDescent="0.3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00B63-EE20-43DE-AE8F-3C89A90C5E8A}">
  <sheetPr>
    <tabColor theme="2" tint="-0.499984740745262"/>
  </sheetPr>
  <dimension ref="A1:G21"/>
  <sheetViews>
    <sheetView workbookViewId="0">
      <pane xSplit="1" ySplit="2" topLeftCell="B17" activePane="bottomRight" state="frozen"/>
      <selection pane="topRight" activeCell="B1" sqref="B1"/>
      <selection pane="bottomLeft" activeCell="A3" sqref="A3"/>
      <selection pane="bottomRight" activeCell="A20" sqref="A20"/>
    </sheetView>
  </sheetViews>
  <sheetFormatPr defaultColWidth="8.77734375" defaultRowHeight="14.4" x14ac:dyDescent="0.3"/>
  <cols>
    <col min="1" max="1" width="15.6640625" customWidth="1"/>
    <col min="2" max="2" width="12.109375" customWidth="1"/>
    <col min="3" max="3" width="66.109375" customWidth="1"/>
    <col min="4" max="4" width="30" customWidth="1"/>
    <col min="5" max="5" width="34" customWidth="1"/>
    <col min="6" max="6" width="26" customWidth="1"/>
    <col min="7" max="7" width="58" customWidth="1"/>
  </cols>
  <sheetData>
    <row r="1" spans="1:7" ht="17.399999999999999" x14ac:dyDescent="0.3">
      <c r="A1" s="38" t="s">
        <v>1787</v>
      </c>
    </row>
    <row r="2" spans="1:7" x14ac:dyDescent="0.3">
      <c r="A2" s="42" t="s">
        <v>1733</v>
      </c>
    </row>
    <row r="4" spans="1:7" x14ac:dyDescent="0.3">
      <c r="A4" s="43" t="s">
        <v>1734</v>
      </c>
      <c r="B4" s="43" t="s">
        <v>577</v>
      </c>
      <c r="C4" s="43" t="s">
        <v>1735</v>
      </c>
      <c r="D4" s="43" t="s">
        <v>1736</v>
      </c>
      <c r="E4" s="43" t="s">
        <v>1737</v>
      </c>
      <c r="F4" s="43" t="s">
        <v>582</v>
      </c>
      <c r="G4" s="43" t="s">
        <v>1738</v>
      </c>
    </row>
    <row r="5" spans="1:7" s="41" customFormat="1" ht="26.4" x14ac:dyDescent="0.3">
      <c r="A5" s="56" t="s">
        <v>584</v>
      </c>
      <c r="B5" s="56">
        <v>1</v>
      </c>
      <c r="C5" s="50" t="s">
        <v>1739</v>
      </c>
      <c r="D5" s="50" t="s">
        <v>1740</v>
      </c>
      <c r="E5" s="50" t="s">
        <v>1741</v>
      </c>
      <c r="F5" s="50" t="s">
        <v>589</v>
      </c>
      <c r="G5" s="50" t="s">
        <v>1742</v>
      </c>
    </row>
    <row r="6" spans="1:7" s="41" customFormat="1" ht="118.8" x14ac:dyDescent="0.3">
      <c r="A6" s="56" t="s">
        <v>591</v>
      </c>
      <c r="B6" s="56">
        <v>2</v>
      </c>
      <c r="C6" s="50" t="s">
        <v>1743</v>
      </c>
      <c r="D6" s="50" t="s">
        <v>1744</v>
      </c>
      <c r="E6" s="50" t="s">
        <v>1745</v>
      </c>
      <c r="F6" s="50" t="s">
        <v>596</v>
      </c>
      <c r="G6" s="50" t="s">
        <v>1746</v>
      </c>
    </row>
    <row r="7" spans="1:7" s="41" customFormat="1" ht="39.6" x14ac:dyDescent="0.3">
      <c r="A7" s="56" t="s">
        <v>598</v>
      </c>
      <c r="B7" s="56">
        <v>3</v>
      </c>
      <c r="C7" s="50" t="s">
        <v>1747</v>
      </c>
      <c r="D7" s="50" t="s">
        <v>1748</v>
      </c>
      <c r="E7" s="50" t="s">
        <v>1749</v>
      </c>
      <c r="F7" s="50" t="s">
        <v>603</v>
      </c>
      <c r="G7" s="50" t="s">
        <v>1750</v>
      </c>
    </row>
    <row r="8" spans="1:7" s="41" customFormat="1" ht="52.8" x14ac:dyDescent="0.3">
      <c r="A8" s="56" t="s">
        <v>605</v>
      </c>
      <c r="B8" s="56">
        <v>4</v>
      </c>
      <c r="C8" s="50" t="s">
        <v>1751</v>
      </c>
      <c r="D8" s="50" t="s">
        <v>1752</v>
      </c>
      <c r="E8" s="50" t="s">
        <v>1753</v>
      </c>
      <c r="F8" s="50" t="s">
        <v>610</v>
      </c>
      <c r="G8" s="50"/>
    </row>
    <row r="9" spans="1:7" s="41" customFormat="1" ht="52.8" x14ac:dyDescent="0.3">
      <c r="A9" s="56" t="s">
        <v>612</v>
      </c>
      <c r="B9" s="56">
        <v>5</v>
      </c>
      <c r="C9" s="50" t="s">
        <v>1754</v>
      </c>
      <c r="D9" s="50" t="s">
        <v>1755</v>
      </c>
      <c r="E9" s="50" t="s">
        <v>1756</v>
      </c>
      <c r="F9" s="50" t="s">
        <v>1757</v>
      </c>
      <c r="G9" s="50" t="s">
        <v>1758</v>
      </c>
    </row>
    <row r="10" spans="1:7" s="41" customFormat="1" ht="39.6" x14ac:dyDescent="0.3">
      <c r="A10" s="56" t="s">
        <v>619</v>
      </c>
      <c r="B10" s="56">
        <v>6</v>
      </c>
      <c r="C10" s="50" t="s">
        <v>1759</v>
      </c>
      <c r="D10" s="50" t="s">
        <v>1760</v>
      </c>
      <c r="E10" s="50" t="s">
        <v>1761</v>
      </c>
      <c r="F10" s="50" t="s">
        <v>631</v>
      </c>
      <c r="G10" s="50" t="s">
        <v>1762</v>
      </c>
    </row>
    <row r="11" spans="1:7" s="41" customFormat="1" ht="26.4" x14ac:dyDescent="0.3">
      <c r="A11" s="56" t="s">
        <v>626</v>
      </c>
      <c r="B11" s="56">
        <v>7</v>
      </c>
      <c r="C11" s="50" t="s">
        <v>1763</v>
      </c>
      <c r="D11" s="50" t="s">
        <v>1764</v>
      </c>
      <c r="E11" s="50" t="s">
        <v>1765</v>
      </c>
      <c r="F11" s="50" t="s">
        <v>638</v>
      </c>
      <c r="G11" s="50" t="s">
        <v>1766</v>
      </c>
    </row>
    <row r="12" spans="1:7" s="41" customFormat="1" ht="39.6" x14ac:dyDescent="0.3">
      <c r="A12" s="56" t="s">
        <v>633</v>
      </c>
      <c r="B12" s="56">
        <v>8</v>
      </c>
      <c r="C12" s="50" t="s">
        <v>1767</v>
      </c>
      <c r="D12" s="50" t="s">
        <v>1768</v>
      </c>
      <c r="E12" s="50" t="s">
        <v>1769</v>
      </c>
      <c r="F12" s="50" t="s">
        <v>645</v>
      </c>
      <c r="G12" s="50" t="s">
        <v>1770</v>
      </c>
    </row>
    <row r="13" spans="1:7" s="41" customFormat="1" ht="26.4" x14ac:dyDescent="0.3">
      <c r="A13" s="56" t="s">
        <v>640</v>
      </c>
      <c r="B13" s="56">
        <v>9</v>
      </c>
      <c r="C13" s="57" t="s">
        <v>1771</v>
      </c>
      <c r="D13" s="50" t="s">
        <v>650</v>
      </c>
      <c r="E13" s="50" t="s">
        <v>651</v>
      </c>
      <c r="F13" s="50" t="s">
        <v>650</v>
      </c>
      <c r="G13" s="50" t="s">
        <v>1772</v>
      </c>
    </row>
    <row r="16" spans="1:7" x14ac:dyDescent="0.3">
      <c r="A16" s="48" t="s">
        <v>1773</v>
      </c>
    </row>
    <row r="17" spans="1:3" ht="48.45" customHeight="1" x14ac:dyDescent="0.3">
      <c r="A17" s="43" t="s">
        <v>1774</v>
      </c>
      <c r="B17" s="43" t="s">
        <v>1775</v>
      </c>
      <c r="C17" s="43" t="s">
        <v>1776</v>
      </c>
    </row>
    <row r="18" spans="1:3" ht="26.4" x14ac:dyDescent="0.3">
      <c r="A18" s="49" t="s">
        <v>1777</v>
      </c>
      <c r="B18" s="52" t="s">
        <v>705</v>
      </c>
      <c r="C18" s="49" t="s">
        <v>1778</v>
      </c>
    </row>
    <row r="19" spans="1:3" ht="66" x14ac:dyDescent="0.3">
      <c r="A19" s="49" t="s">
        <v>1779</v>
      </c>
      <c r="B19" s="53" t="s">
        <v>1780</v>
      </c>
      <c r="C19" s="49" t="s">
        <v>1781</v>
      </c>
    </row>
    <row r="20" spans="1:3" ht="52.95" customHeight="1" x14ac:dyDescent="0.3">
      <c r="A20" s="49" t="s">
        <v>1782</v>
      </c>
      <c r="B20" s="54" t="s">
        <v>756</v>
      </c>
      <c r="C20" s="49" t="s">
        <v>1783</v>
      </c>
    </row>
    <row r="21" spans="1:3" ht="47.55" customHeight="1" x14ac:dyDescent="0.3">
      <c r="A21" s="49" t="s">
        <v>1784</v>
      </c>
      <c r="B21" s="55" t="s">
        <v>1785</v>
      </c>
      <c r="C21" s="49" t="s">
        <v>1786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2060"/>
  </sheetPr>
  <dimension ref="A1:E22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6" sqref="B6"/>
    </sheetView>
  </sheetViews>
  <sheetFormatPr defaultColWidth="8.77734375" defaultRowHeight="14.4" x14ac:dyDescent="0.3"/>
  <cols>
    <col min="1" max="1" width="23.88671875" customWidth="1"/>
    <col min="2" max="5" width="52.109375" customWidth="1"/>
  </cols>
  <sheetData>
    <row r="1" spans="1:5" ht="36" customHeight="1" x14ac:dyDescent="0.3">
      <c r="A1" s="89" t="s">
        <v>102</v>
      </c>
      <c r="B1" s="89"/>
      <c r="C1" s="89"/>
      <c r="D1" s="89"/>
    </row>
    <row r="2" spans="1:5" x14ac:dyDescent="0.3">
      <c r="A2" s="5" t="s">
        <v>103</v>
      </c>
    </row>
    <row r="4" spans="1:5" x14ac:dyDescent="0.3">
      <c r="A4" s="29" t="s">
        <v>104</v>
      </c>
      <c r="B4" s="87" t="s">
        <v>105</v>
      </c>
      <c r="C4" s="29" t="s">
        <v>106</v>
      </c>
      <c r="D4" s="29" t="s">
        <v>107</v>
      </c>
      <c r="E4" s="29" t="s">
        <v>108</v>
      </c>
    </row>
    <row r="5" spans="1:5" ht="39.6" x14ac:dyDescent="0.3">
      <c r="A5" s="9" t="s">
        <v>109</v>
      </c>
      <c r="B5" s="46" t="s">
        <v>1788</v>
      </c>
      <c r="C5" s="10" t="s">
        <v>110</v>
      </c>
      <c r="D5" s="10" t="s">
        <v>111</v>
      </c>
      <c r="E5" s="10" t="s">
        <v>112</v>
      </c>
    </row>
    <row r="6" spans="1:5" ht="26.4" x14ac:dyDescent="0.3">
      <c r="A6" s="9" t="s">
        <v>113</v>
      </c>
      <c r="B6" s="10" t="s">
        <v>114</v>
      </c>
      <c r="C6" s="10" t="s">
        <v>115</v>
      </c>
      <c r="D6" s="10" t="s">
        <v>116</v>
      </c>
      <c r="E6" s="10" t="s">
        <v>117</v>
      </c>
    </row>
    <row r="7" spans="1:5" ht="52.8" x14ac:dyDescent="0.3">
      <c r="A7" s="9" t="s">
        <v>118</v>
      </c>
      <c r="B7" s="10" t="s">
        <v>119</v>
      </c>
      <c r="C7" s="10" t="s">
        <v>120</v>
      </c>
      <c r="D7" s="10" t="s">
        <v>121</v>
      </c>
      <c r="E7" s="10" t="s">
        <v>122</v>
      </c>
    </row>
    <row r="8" spans="1:5" ht="27" thickBot="1" x14ac:dyDescent="0.35">
      <c r="A8" s="33" t="s">
        <v>123</v>
      </c>
      <c r="B8" s="32" t="s">
        <v>124</v>
      </c>
      <c r="C8" s="32" t="s">
        <v>125</v>
      </c>
      <c r="D8" s="32" t="s">
        <v>126</v>
      </c>
      <c r="E8" s="32" t="s">
        <v>127</v>
      </c>
    </row>
    <row r="9" spans="1:5" ht="27.6" thickTop="1" thickBot="1" x14ac:dyDescent="0.35">
      <c r="A9" s="36" t="s">
        <v>128</v>
      </c>
      <c r="B9" s="35" t="s">
        <v>129</v>
      </c>
      <c r="C9" s="35" t="s">
        <v>130</v>
      </c>
      <c r="D9" s="35" t="s">
        <v>131</v>
      </c>
      <c r="E9" s="34" t="s">
        <v>132</v>
      </c>
    </row>
    <row r="10" spans="1:5" ht="27" thickTop="1" x14ac:dyDescent="0.3">
      <c r="A10" s="30" t="s">
        <v>133</v>
      </c>
      <c r="B10" s="31" t="s">
        <v>134</v>
      </c>
      <c r="C10" s="31" t="s">
        <v>135</v>
      </c>
      <c r="D10" s="31" t="s">
        <v>136</v>
      </c>
      <c r="E10" s="31" t="s">
        <v>137</v>
      </c>
    </row>
    <row r="11" spans="1:5" ht="26.4" x14ac:dyDescent="0.3">
      <c r="A11" s="9" t="s">
        <v>138</v>
      </c>
      <c r="B11" s="10" t="s">
        <v>139</v>
      </c>
      <c r="C11" s="10" t="s">
        <v>140</v>
      </c>
      <c r="D11" s="10" t="s">
        <v>141</v>
      </c>
      <c r="E11" s="10" t="s">
        <v>142</v>
      </c>
    </row>
    <row r="12" spans="1:5" ht="39.6" x14ac:dyDescent="0.3">
      <c r="A12" s="9" t="s">
        <v>143</v>
      </c>
      <c r="B12" s="10" t="s">
        <v>144</v>
      </c>
      <c r="C12" s="10" t="s">
        <v>145</v>
      </c>
      <c r="D12" s="10" t="s">
        <v>146</v>
      </c>
      <c r="E12" s="10" t="s">
        <v>147</v>
      </c>
    </row>
    <row r="13" spans="1:5" ht="52.8" x14ac:dyDescent="0.3">
      <c r="A13" s="9" t="s">
        <v>148</v>
      </c>
      <c r="B13" s="10" t="s">
        <v>149</v>
      </c>
      <c r="C13" s="10" t="s">
        <v>150</v>
      </c>
      <c r="D13" s="10" t="s">
        <v>151</v>
      </c>
      <c r="E13" s="10" t="s">
        <v>152</v>
      </c>
    </row>
    <row r="14" spans="1:5" ht="26.4" x14ac:dyDescent="0.3">
      <c r="A14" s="9" t="s">
        <v>153</v>
      </c>
      <c r="B14" s="10" t="s">
        <v>154</v>
      </c>
      <c r="C14" s="10" t="s">
        <v>155</v>
      </c>
      <c r="D14" s="10" t="s">
        <v>156</v>
      </c>
      <c r="E14" s="10" t="s">
        <v>157</v>
      </c>
    </row>
    <row r="15" spans="1:5" ht="39.6" x14ac:dyDescent="0.3">
      <c r="A15" s="9" t="s">
        <v>158</v>
      </c>
      <c r="B15" s="10" t="s">
        <v>159</v>
      </c>
      <c r="C15" s="10" t="s">
        <v>160</v>
      </c>
      <c r="D15" s="10" t="s">
        <v>161</v>
      </c>
      <c r="E15" s="10" t="s">
        <v>162</v>
      </c>
    </row>
    <row r="16" spans="1:5" ht="39.6" x14ac:dyDescent="0.3">
      <c r="A16" s="9" t="s">
        <v>163</v>
      </c>
      <c r="B16" s="10" t="s">
        <v>164</v>
      </c>
      <c r="C16" s="10" t="s">
        <v>165</v>
      </c>
      <c r="D16" s="10" t="s">
        <v>166</v>
      </c>
      <c r="E16" s="10" t="s">
        <v>167</v>
      </c>
    </row>
    <row r="17" spans="1:5" ht="26.4" x14ac:dyDescent="0.3">
      <c r="A17" s="9" t="s">
        <v>168</v>
      </c>
      <c r="B17" s="10" t="s">
        <v>169</v>
      </c>
      <c r="C17" s="10" t="s">
        <v>170</v>
      </c>
      <c r="D17" s="10" t="s">
        <v>171</v>
      </c>
      <c r="E17" s="10" t="s">
        <v>172</v>
      </c>
    </row>
    <row r="18" spans="1:5" x14ac:dyDescent="0.3">
      <c r="A18" s="9" t="s">
        <v>173</v>
      </c>
      <c r="B18" s="10" t="s">
        <v>96</v>
      </c>
      <c r="C18" s="10" t="s">
        <v>98</v>
      </c>
      <c r="D18" s="10" t="s">
        <v>100</v>
      </c>
      <c r="E18" s="10" t="s">
        <v>100</v>
      </c>
    </row>
    <row r="19" spans="1:5" ht="26.4" x14ac:dyDescent="0.3">
      <c r="A19" s="9" t="s">
        <v>174</v>
      </c>
      <c r="B19" s="10" t="s">
        <v>175</v>
      </c>
      <c r="C19" s="10" t="s">
        <v>176</v>
      </c>
      <c r="D19" s="10" t="s">
        <v>177</v>
      </c>
      <c r="E19" s="10" t="s">
        <v>178</v>
      </c>
    </row>
    <row r="20" spans="1:5" ht="39.6" x14ac:dyDescent="0.3">
      <c r="A20" s="9" t="s">
        <v>179</v>
      </c>
      <c r="B20" s="10" t="s">
        <v>180</v>
      </c>
      <c r="C20" s="10" t="s">
        <v>181</v>
      </c>
      <c r="D20" s="10" t="s">
        <v>182</v>
      </c>
      <c r="E20" s="10" t="s">
        <v>183</v>
      </c>
    </row>
    <row r="21" spans="1:5" ht="26.4" x14ac:dyDescent="0.3">
      <c r="A21" s="9" t="s">
        <v>184</v>
      </c>
      <c r="B21" s="10" t="s">
        <v>185</v>
      </c>
      <c r="C21" s="10" t="s">
        <v>186</v>
      </c>
      <c r="D21" s="10" t="s">
        <v>187</v>
      </c>
      <c r="E21" s="10" t="s">
        <v>188</v>
      </c>
    </row>
    <row r="22" spans="1:5" ht="39.6" x14ac:dyDescent="0.3">
      <c r="A22" s="9" t="s">
        <v>189</v>
      </c>
      <c r="B22" s="10" t="s">
        <v>190</v>
      </c>
      <c r="C22" s="10" t="s">
        <v>191</v>
      </c>
      <c r="D22" s="10" t="s">
        <v>192</v>
      </c>
      <c r="E22" s="10" t="s">
        <v>193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-0.249977111117893"/>
  </sheetPr>
  <dimension ref="A1:I43"/>
  <sheetViews>
    <sheetView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H8" sqref="H8"/>
    </sheetView>
  </sheetViews>
  <sheetFormatPr defaultColWidth="8.77734375" defaultRowHeight="14.4" x14ac:dyDescent="0.3"/>
  <cols>
    <col min="1" max="2" width="9" style="14" customWidth="1"/>
    <col min="3" max="3" width="14" style="14" customWidth="1"/>
    <col min="4" max="4" width="69.88671875" style="14" customWidth="1"/>
    <col min="5" max="5" width="9.88671875" style="14" customWidth="1"/>
    <col min="6" max="6" width="9" style="14" customWidth="1"/>
    <col min="7" max="7" width="50" style="14" customWidth="1"/>
    <col min="8" max="8" width="20" style="14" customWidth="1"/>
    <col min="9" max="9" width="32" style="14" customWidth="1"/>
    <col min="10" max="16384" width="8.77734375" style="14"/>
  </cols>
  <sheetData>
    <row r="1" spans="1:9" ht="17.399999999999999" x14ac:dyDescent="0.3">
      <c r="A1" s="13" t="s">
        <v>194</v>
      </c>
    </row>
    <row r="2" spans="1:9" x14ac:dyDescent="0.3">
      <c r="A2" s="15" t="s">
        <v>195</v>
      </c>
    </row>
    <row r="4" spans="1:9" s="37" customFormat="1" ht="33.75" customHeight="1" x14ac:dyDescent="0.3">
      <c r="A4" s="6" t="s">
        <v>196</v>
      </c>
      <c r="B4" s="6" t="s">
        <v>90</v>
      </c>
      <c r="C4" s="6" t="s">
        <v>197</v>
      </c>
      <c r="D4" s="6" t="s">
        <v>198</v>
      </c>
      <c r="E4" s="6" t="s">
        <v>71</v>
      </c>
      <c r="F4" s="6" t="s">
        <v>92</v>
      </c>
      <c r="G4" s="6" t="s">
        <v>199</v>
      </c>
      <c r="H4" s="43" t="s">
        <v>200</v>
      </c>
      <c r="I4" s="43" t="s">
        <v>201</v>
      </c>
    </row>
    <row r="5" spans="1:9" ht="26.4" x14ac:dyDescent="0.3">
      <c r="A5" s="10" t="s">
        <v>202</v>
      </c>
      <c r="B5" s="10" t="s">
        <v>95</v>
      </c>
      <c r="C5" s="10" t="s">
        <v>203</v>
      </c>
      <c r="D5" s="10" t="s">
        <v>204</v>
      </c>
      <c r="E5" s="10" t="s">
        <v>205</v>
      </c>
      <c r="F5" s="10">
        <v>8</v>
      </c>
      <c r="G5" s="10" t="s">
        <v>206</v>
      </c>
      <c r="H5" s="10" t="s">
        <v>207</v>
      </c>
      <c r="I5" s="10" t="s">
        <v>208</v>
      </c>
    </row>
    <row r="6" spans="1:9" ht="26.4" x14ac:dyDescent="0.3">
      <c r="A6" s="10" t="s">
        <v>209</v>
      </c>
      <c r="B6" s="10" t="s">
        <v>95</v>
      </c>
      <c r="C6" s="10" t="s">
        <v>210</v>
      </c>
      <c r="D6" s="10" t="s">
        <v>211</v>
      </c>
      <c r="E6" s="10" t="s">
        <v>205</v>
      </c>
      <c r="F6" s="10">
        <v>5</v>
      </c>
      <c r="G6" s="10" t="s">
        <v>212</v>
      </c>
      <c r="H6" s="10" t="s">
        <v>213</v>
      </c>
      <c r="I6" s="10" t="s">
        <v>214</v>
      </c>
    </row>
    <row r="7" spans="1:9" ht="26.4" x14ac:dyDescent="0.3">
      <c r="A7" s="10" t="s">
        <v>215</v>
      </c>
      <c r="B7" s="10" t="s">
        <v>95</v>
      </c>
      <c r="C7" s="10" t="s">
        <v>216</v>
      </c>
      <c r="D7" s="10" t="s">
        <v>217</v>
      </c>
      <c r="E7" s="10" t="s">
        <v>205</v>
      </c>
      <c r="F7" s="10">
        <v>8</v>
      </c>
      <c r="G7" s="10" t="s">
        <v>218</v>
      </c>
      <c r="H7" s="10" t="s">
        <v>213</v>
      </c>
      <c r="I7" s="10" t="s">
        <v>219</v>
      </c>
    </row>
    <row r="8" spans="1:9" ht="26.4" x14ac:dyDescent="0.3">
      <c r="A8" s="10" t="s">
        <v>220</v>
      </c>
      <c r="B8" s="10" t="s">
        <v>95</v>
      </c>
      <c r="C8" s="10" t="s">
        <v>216</v>
      </c>
      <c r="D8" s="10" t="s">
        <v>221</v>
      </c>
      <c r="E8" s="10" t="s">
        <v>222</v>
      </c>
      <c r="F8" s="10">
        <v>3</v>
      </c>
      <c r="G8" s="10" t="s">
        <v>223</v>
      </c>
      <c r="H8" s="10" t="s">
        <v>213</v>
      </c>
      <c r="I8" s="10" t="s">
        <v>224</v>
      </c>
    </row>
    <row r="9" spans="1:9" ht="26.4" x14ac:dyDescent="0.3">
      <c r="A9" s="10" t="s">
        <v>225</v>
      </c>
      <c r="B9" s="10" t="s">
        <v>95</v>
      </c>
      <c r="C9" s="10" t="s">
        <v>210</v>
      </c>
      <c r="D9" s="10" t="s">
        <v>226</v>
      </c>
      <c r="E9" s="10" t="s">
        <v>205</v>
      </c>
      <c r="F9" s="10">
        <v>5</v>
      </c>
      <c r="G9" s="10" t="s">
        <v>227</v>
      </c>
      <c r="H9" s="10" t="s">
        <v>228</v>
      </c>
      <c r="I9" s="10" t="s">
        <v>229</v>
      </c>
    </row>
    <row r="10" spans="1:9" ht="26.4" x14ac:dyDescent="0.3">
      <c r="A10" s="10" t="s">
        <v>230</v>
      </c>
      <c r="B10" s="10" t="s">
        <v>95</v>
      </c>
      <c r="C10" s="10" t="s">
        <v>216</v>
      </c>
      <c r="D10" s="10" t="s">
        <v>231</v>
      </c>
      <c r="E10" s="10" t="s">
        <v>205</v>
      </c>
      <c r="F10" s="10">
        <v>5</v>
      </c>
      <c r="G10" s="10" t="s">
        <v>232</v>
      </c>
      <c r="H10" s="10" t="s">
        <v>213</v>
      </c>
      <c r="I10" s="10" t="s">
        <v>233</v>
      </c>
    </row>
    <row r="11" spans="1:9" ht="26.4" x14ac:dyDescent="0.3">
      <c r="A11" s="10" t="s">
        <v>234</v>
      </c>
      <c r="B11" s="10" t="s">
        <v>95</v>
      </c>
      <c r="C11" s="10" t="s">
        <v>235</v>
      </c>
      <c r="D11" s="10" t="s">
        <v>236</v>
      </c>
      <c r="E11" s="10" t="s">
        <v>205</v>
      </c>
      <c r="F11" s="10">
        <v>3</v>
      </c>
      <c r="G11" s="10" t="s">
        <v>237</v>
      </c>
      <c r="H11" s="10" t="s">
        <v>228</v>
      </c>
      <c r="I11" s="10" t="s">
        <v>238</v>
      </c>
    </row>
    <row r="12" spans="1:9" ht="26.4" x14ac:dyDescent="0.3">
      <c r="A12" s="10" t="s">
        <v>239</v>
      </c>
      <c r="B12" s="10" t="s">
        <v>95</v>
      </c>
      <c r="C12" s="10" t="s">
        <v>240</v>
      </c>
      <c r="D12" s="10" t="s">
        <v>241</v>
      </c>
      <c r="E12" s="10" t="s">
        <v>205</v>
      </c>
      <c r="F12" s="10">
        <v>5</v>
      </c>
      <c r="G12" s="10" t="s">
        <v>242</v>
      </c>
      <c r="H12" s="10" t="s">
        <v>228</v>
      </c>
      <c r="I12" s="10" t="s">
        <v>243</v>
      </c>
    </row>
    <row r="13" spans="1:9" ht="26.4" x14ac:dyDescent="0.3">
      <c r="A13" s="10" t="s">
        <v>244</v>
      </c>
      <c r="B13" s="10" t="s">
        <v>97</v>
      </c>
      <c r="C13" s="10" t="s">
        <v>245</v>
      </c>
      <c r="D13" s="10" t="s">
        <v>246</v>
      </c>
      <c r="E13" s="10" t="s">
        <v>205</v>
      </c>
      <c r="F13" s="10">
        <v>8</v>
      </c>
      <c r="G13" s="10" t="s">
        <v>247</v>
      </c>
      <c r="H13" s="10" t="s">
        <v>248</v>
      </c>
      <c r="I13" s="10" t="s">
        <v>249</v>
      </c>
    </row>
    <row r="14" spans="1:9" ht="26.4" x14ac:dyDescent="0.3">
      <c r="A14" s="10" t="s">
        <v>250</v>
      </c>
      <c r="B14" s="10" t="s">
        <v>97</v>
      </c>
      <c r="C14" s="10" t="s">
        <v>251</v>
      </c>
      <c r="D14" s="10" t="s">
        <v>252</v>
      </c>
      <c r="E14" s="10" t="s">
        <v>205</v>
      </c>
      <c r="F14" s="10">
        <v>8</v>
      </c>
      <c r="G14" s="10" t="s">
        <v>253</v>
      </c>
      <c r="H14" s="10" t="s">
        <v>254</v>
      </c>
      <c r="I14" s="10" t="s">
        <v>255</v>
      </c>
    </row>
    <row r="15" spans="1:9" ht="26.4" x14ac:dyDescent="0.3">
      <c r="A15" s="10" t="s">
        <v>256</v>
      </c>
      <c r="B15" s="10" t="s">
        <v>97</v>
      </c>
      <c r="C15" s="10" t="s">
        <v>257</v>
      </c>
      <c r="D15" s="10" t="s">
        <v>258</v>
      </c>
      <c r="E15" s="10" t="s">
        <v>205</v>
      </c>
      <c r="F15" s="10">
        <v>13</v>
      </c>
      <c r="G15" s="10" t="s">
        <v>259</v>
      </c>
      <c r="H15" s="10" t="s">
        <v>254</v>
      </c>
      <c r="I15" s="10" t="s">
        <v>260</v>
      </c>
    </row>
    <row r="16" spans="1:9" ht="26.4" x14ac:dyDescent="0.3">
      <c r="A16" s="10" t="s">
        <v>261</v>
      </c>
      <c r="B16" s="10" t="s">
        <v>97</v>
      </c>
      <c r="C16" s="10" t="s">
        <v>251</v>
      </c>
      <c r="D16" s="10" t="s">
        <v>262</v>
      </c>
      <c r="E16" s="10" t="s">
        <v>205</v>
      </c>
      <c r="F16" s="10">
        <v>5</v>
      </c>
      <c r="G16" s="10" t="s">
        <v>263</v>
      </c>
      <c r="H16" s="10" t="s">
        <v>264</v>
      </c>
      <c r="I16" s="10" t="s">
        <v>265</v>
      </c>
    </row>
    <row r="17" spans="1:9" ht="26.4" x14ac:dyDescent="0.3">
      <c r="A17" s="10" t="s">
        <v>266</v>
      </c>
      <c r="B17" s="10" t="s">
        <v>97</v>
      </c>
      <c r="C17" s="10" t="s">
        <v>267</v>
      </c>
      <c r="D17" s="10" t="s">
        <v>268</v>
      </c>
      <c r="E17" s="10" t="s">
        <v>205</v>
      </c>
      <c r="F17" s="10">
        <v>5</v>
      </c>
      <c r="G17" s="10" t="s">
        <v>269</v>
      </c>
      <c r="H17" s="10" t="s">
        <v>254</v>
      </c>
      <c r="I17" s="10" t="s">
        <v>270</v>
      </c>
    </row>
    <row r="18" spans="1:9" ht="26.4" x14ac:dyDescent="0.3">
      <c r="A18" s="10" t="s">
        <v>271</v>
      </c>
      <c r="B18" s="10" t="s">
        <v>97</v>
      </c>
      <c r="C18" s="10" t="s">
        <v>272</v>
      </c>
      <c r="D18" s="10" t="s">
        <v>273</v>
      </c>
      <c r="E18" s="10" t="s">
        <v>222</v>
      </c>
      <c r="F18" s="10">
        <v>3</v>
      </c>
      <c r="G18" s="10" t="s">
        <v>274</v>
      </c>
      <c r="H18" s="10" t="s">
        <v>228</v>
      </c>
      <c r="I18" s="10" t="s">
        <v>275</v>
      </c>
    </row>
    <row r="19" spans="1:9" ht="26.4" x14ac:dyDescent="0.3">
      <c r="A19" s="10" t="s">
        <v>276</v>
      </c>
      <c r="B19" s="10" t="s">
        <v>97</v>
      </c>
      <c r="C19" s="10" t="s">
        <v>277</v>
      </c>
      <c r="D19" s="10" t="s">
        <v>278</v>
      </c>
      <c r="E19" s="10" t="s">
        <v>205</v>
      </c>
      <c r="F19" s="10">
        <v>8</v>
      </c>
      <c r="G19" s="10" t="s">
        <v>279</v>
      </c>
      <c r="H19" s="10" t="s">
        <v>280</v>
      </c>
      <c r="I19" s="10" t="s">
        <v>281</v>
      </c>
    </row>
    <row r="20" spans="1:9" ht="26.4" x14ac:dyDescent="0.3">
      <c r="A20" s="10" t="s">
        <v>282</v>
      </c>
      <c r="B20" s="10" t="s">
        <v>97</v>
      </c>
      <c r="C20" s="10" t="s">
        <v>283</v>
      </c>
      <c r="D20" s="10" t="s">
        <v>284</v>
      </c>
      <c r="E20" s="10" t="s">
        <v>205</v>
      </c>
      <c r="F20" s="10">
        <v>8</v>
      </c>
      <c r="G20" s="10" t="s">
        <v>285</v>
      </c>
      <c r="H20" s="10" t="s">
        <v>264</v>
      </c>
      <c r="I20" s="10" t="s">
        <v>286</v>
      </c>
    </row>
    <row r="21" spans="1:9" ht="26.4" x14ac:dyDescent="0.3">
      <c r="A21" s="10" t="s">
        <v>287</v>
      </c>
      <c r="B21" s="10" t="s">
        <v>97</v>
      </c>
      <c r="C21" s="10" t="s">
        <v>288</v>
      </c>
      <c r="D21" s="10" t="s">
        <v>289</v>
      </c>
      <c r="E21" s="10" t="s">
        <v>222</v>
      </c>
      <c r="F21" s="10">
        <v>5</v>
      </c>
      <c r="G21" s="10" t="s">
        <v>290</v>
      </c>
      <c r="H21" s="10" t="s">
        <v>254</v>
      </c>
      <c r="I21" s="10" t="s">
        <v>291</v>
      </c>
    </row>
    <row r="22" spans="1:9" ht="26.4" x14ac:dyDescent="0.3">
      <c r="A22" s="10" t="s">
        <v>292</v>
      </c>
      <c r="B22" s="10" t="s">
        <v>97</v>
      </c>
      <c r="C22" s="10" t="s">
        <v>293</v>
      </c>
      <c r="D22" s="10" t="s">
        <v>294</v>
      </c>
      <c r="E22" s="10" t="s">
        <v>205</v>
      </c>
      <c r="F22" s="10">
        <v>5</v>
      </c>
      <c r="G22" s="10" t="s">
        <v>295</v>
      </c>
      <c r="H22" s="10" t="s">
        <v>296</v>
      </c>
      <c r="I22" s="10" t="s">
        <v>297</v>
      </c>
    </row>
    <row r="23" spans="1:9" ht="26.4" x14ac:dyDescent="0.3">
      <c r="A23" s="10" t="s">
        <v>298</v>
      </c>
      <c r="B23" s="10" t="s">
        <v>99</v>
      </c>
      <c r="C23" s="10" t="s">
        <v>299</v>
      </c>
      <c r="D23" s="10" t="s">
        <v>300</v>
      </c>
      <c r="E23" s="10" t="s">
        <v>205</v>
      </c>
      <c r="F23" s="10">
        <v>8</v>
      </c>
      <c r="G23" s="10" t="s">
        <v>301</v>
      </c>
      <c r="H23" s="10" t="s">
        <v>302</v>
      </c>
      <c r="I23" s="10" t="s">
        <v>303</v>
      </c>
    </row>
    <row r="24" spans="1:9" ht="26.4" x14ac:dyDescent="0.3">
      <c r="A24" s="10" t="s">
        <v>304</v>
      </c>
      <c r="B24" s="10" t="s">
        <v>99</v>
      </c>
      <c r="C24" s="10" t="s">
        <v>305</v>
      </c>
      <c r="D24" s="10" t="s">
        <v>306</v>
      </c>
      <c r="E24" s="10" t="s">
        <v>205</v>
      </c>
      <c r="F24" s="10">
        <v>5</v>
      </c>
      <c r="G24" s="10" t="s">
        <v>307</v>
      </c>
      <c r="H24" s="10" t="s">
        <v>302</v>
      </c>
      <c r="I24" s="10" t="s">
        <v>308</v>
      </c>
    </row>
    <row r="25" spans="1:9" ht="26.4" x14ac:dyDescent="0.3">
      <c r="A25" s="10" t="s">
        <v>309</v>
      </c>
      <c r="B25" s="10" t="s">
        <v>99</v>
      </c>
      <c r="C25" s="10" t="s">
        <v>310</v>
      </c>
      <c r="D25" s="10" t="s">
        <v>311</v>
      </c>
      <c r="E25" s="10" t="s">
        <v>205</v>
      </c>
      <c r="F25" s="10">
        <v>13</v>
      </c>
      <c r="G25" s="10" t="s">
        <v>312</v>
      </c>
      <c r="H25" s="10" t="s">
        <v>313</v>
      </c>
      <c r="I25" s="10" t="s">
        <v>314</v>
      </c>
    </row>
    <row r="26" spans="1:9" ht="26.4" x14ac:dyDescent="0.3">
      <c r="A26" s="10" t="s">
        <v>315</v>
      </c>
      <c r="B26" s="10" t="s">
        <v>99</v>
      </c>
      <c r="C26" s="10" t="s">
        <v>316</v>
      </c>
      <c r="D26" s="10" t="s">
        <v>317</v>
      </c>
      <c r="E26" s="10" t="s">
        <v>205</v>
      </c>
      <c r="F26" s="10">
        <v>13</v>
      </c>
      <c r="G26" s="10" t="s">
        <v>318</v>
      </c>
      <c r="H26" s="10" t="s">
        <v>319</v>
      </c>
      <c r="I26" s="10" t="s">
        <v>320</v>
      </c>
    </row>
    <row r="27" spans="1:9" ht="26.4" x14ac:dyDescent="0.3">
      <c r="A27" s="10" t="s">
        <v>321</v>
      </c>
      <c r="B27" s="10" t="s">
        <v>99</v>
      </c>
      <c r="C27" s="10" t="s">
        <v>322</v>
      </c>
      <c r="D27" s="10" t="s">
        <v>323</v>
      </c>
      <c r="E27" s="10" t="s">
        <v>205</v>
      </c>
      <c r="F27" s="10">
        <v>5</v>
      </c>
      <c r="G27" s="10" t="s">
        <v>324</v>
      </c>
      <c r="H27" s="10" t="s">
        <v>319</v>
      </c>
      <c r="I27" s="10" t="s">
        <v>325</v>
      </c>
    </row>
    <row r="28" spans="1:9" ht="26.4" x14ac:dyDescent="0.3">
      <c r="A28" s="10" t="s">
        <v>326</v>
      </c>
      <c r="B28" s="10" t="s">
        <v>99</v>
      </c>
      <c r="C28" s="10" t="s">
        <v>288</v>
      </c>
      <c r="D28" s="10" t="s">
        <v>327</v>
      </c>
      <c r="E28" s="10" t="s">
        <v>222</v>
      </c>
      <c r="F28" s="10">
        <v>3</v>
      </c>
      <c r="G28" s="10" t="s">
        <v>328</v>
      </c>
      <c r="H28" s="10" t="s">
        <v>319</v>
      </c>
      <c r="I28" s="10" t="s">
        <v>329</v>
      </c>
    </row>
    <row r="29" spans="1:9" x14ac:dyDescent="0.3">
      <c r="A29" s="10" t="s">
        <v>330</v>
      </c>
      <c r="B29" s="10" t="s">
        <v>99</v>
      </c>
      <c r="C29" s="10" t="s">
        <v>331</v>
      </c>
      <c r="D29" s="10" t="s">
        <v>332</v>
      </c>
      <c r="E29" s="10" t="s">
        <v>333</v>
      </c>
      <c r="F29" s="10">
        <v>8</v>
      </c>
      <c r="G29" s="10" t="s">
        <v>334</v>
      </c>
      <c r="H29" s="10" t="s">
        <v>302</v>
      </c>
      <c r="I29" s="10" t="s">
        <v>335</v>
      </c>
    </row>
    <row r="30" spans="1:9" ht="26.4" x14ac:dyDescent="0.3">
      <c r="A30" s="10" t="s">
        <v>336</v>
      </c>
      <c r="B30" s="10" t="s">
        <v>99</v>
      </c>
      <c r="C30" s="10" t="s">
        <v>337</v>
      </c>
      <c r="D30" s="10" t="s">
        <v>338</v>
      </c>
      <c r="E30" s="10" t="s">
        <v>222</v>
      </c>
      <c r="F30" s="10">
        <v>5</v>
      </c>
      <c r="G30" s="10" t="s">
        <v>339</v>
      </c>
      <c r="H30" s="10" t="s">
        <v>302</v>
      </c>
      <c r="I30" s="10" t="s">
        <v>340</v>
      </c>
    </row>
    <row r="31" spans="1:9" ht="26.4" x14ac:dyDescent="0.3">
      <c r="A31" s="10" t="s">
        <v>341</v>
      </c>
      <c r="B31" s="10" t="s">
        <v>99</v>
      </c>
      <c r="C31" s="10" t="s">
        <v>342</v>
      </c>
      <c r="D31" s="10" t="s">
        <v>343</v>
      </c>
      <c r="E31" s="10" t="s">
        <v>333</v>
      </c>
      <c r="F31" s="10">
        <v>5</v>
      </c>
      <c r="G31" s="10" t="s">
        <v>344</v>
      </c>
      <c r="H31" s="10" t="s">
        <v>302</v>
      </c>
      <c r="I31" s="10" t="s">
        <v>345</v>
      </c>
    </row>
    <row r="32" spans="1:9" ht="26.4" x14ac:dyDescent="0.3">
      <c r="A32" s="10" t="s">
        <v>346</v>
      </c>
      <c r="B32" s="10" t="s">
        <v>101</v>
      </c>
      <c r="C32" s="10" t="s">
        <v>347</v>
      </c>
      <c r="D32" s="10" t="s">
        <v>348</v>
      </c>
      <c r="E32" s="10" t="s">
        <v>205</v>
      </c>
      <c r="F32" s="10">
        <v>8</v>
      </c>
      <c r="G32" s="10" t="s">
        <v>349</v>
      </c>
      <c r="H32" s="10" t="s">
        <v>350</v>
      </c>
      <c r="I32" s="10" t="s">
        <v>351</v>
      </c>
    </row>
    <row r="33" spans="1:9" ht="26.4" x14ac:dyDescent="0.3">
      <c r="A33" s="10" t="s">
        <v>352</v>
      </c>
      <c r="B33" s="10" t="s">
        <v>101</v>
      </c>
      <c r="C33" s="10" t="s">
        <v>353</v>
      </c>
      <c r="D33" s="10" t="s">
        <v>354</v>
      </c>
      <c r="E33" s="10" t="s">
        <v>205</v>
      </c>
      <c r="F33" s="10">
        <v>5</v>
      </c>
      <c r="G33" s="10" t="s">
        <v>355</v>
      </c>
      <c r="H33" s="10" t="s">
        <v>350</v>
      </c>
      <c r="I33" s="10" t="s">
        <v>356</v>
      </c>
    </row>
    <row r="34" spans="1:9" ht="26.4" x14ac:dyDescent="0.3">
      <c r="A34" s="10" t="s">
        <v>357</v>
      </c>
      <c r="B34" s="10" t="s">
        <v>101</v>
      </c>
      <c r="C34" s="10" t="s">
        <v>358</v>
      </c>
      <c r="D34" s="10" t="s">
        <v>359</v>
      </c>
      <c r="E34" s="10" t="s">
        <v>205</v>
      </c>
      <c r="F34" s="10">
        <v>8</v>
      </c>
      <c r="G34" s="10" t="s">
        <v>360</v>
      </c>
      <c r="H34" s="10" t="s">
        <v>361</v>
      </c>
      <c r="I34" s="10" t="s">
        <v>362</v>
      </c>
    </row>
    <row r="35" spans="1:9" ht="26.4" x14ac:dyDescent="0.3">
      <c r="A35" s="10" t="s">
        <v>363</v>
      </c>
      <c r="B35" s="10" t="s">
        <v>101</v>
      </c>
      <c r="C35" s="10" t="s">
        <v>364</v>
      </c>
      <c r="D35" s="10" t="s">
        <v>365</v>
      </c>
      <c r="E35" s="10" t="s">
        <v>205</v>
      </c>
      <c r="F35" s="10">
        <v>5</v>
      </c>
      <c r="G35" s="10" t="s">
        <v>366</v>
      </c>
      <c r="H35" s="10" t="s">
        <v>361</v>
      </c>
      <c r="I35" s="10" t="s">
        <v>367</v>
      </c>
    </row>
    <row r="36" spans="1:9" ht="26.4" x14ac:dyDescent="0.3">
      <c r="A36" s="10" t="s">
        <v>368</v>
      </c>
      <c r="B36" s="10" t="s">
        <v>101</v>
      </c>
      <c r="C36" s="10" t="s">
        <v>369</v>
      </c>
      <c r="D36" s="10" t="s">
        <v>370</v>
      </c>
      <c r="E36" s="10" t="s">
        <v>222</v>
      </c>
      <c r="F36" s="10">
        <v>8</v>
      </c>
      <c r="G36" s="10" t="s">
        <v>371</v>
      </c>
      <c r="H36" s="10" t="s">
        <v>372</v>
      </c>
      <c r="I36" s="10" t="s">
        <v>373</v>
      </c>
    </row>
    <row r="37" spans="1:9" ht="26.4" x14ac:dyDescent="0.3">
      <c r="A37" s="10" t="s">
        <v>374</v>
      </c>
      <c r="B37" s="10" t="s">
        <v>101</v>
      </c>
      <c r="C37" s="10" t="s">
        <v>375</v>
      </c>
      <c r="D37" s="10" t="s">
        <v>376</v>
      </c>
      <c r="E37" s="10" t="s">
        <v>222</v>
      </c>
      <c r="F37" s="10">
        <v>8</v>
      </c>
      <c r="G37" s="10" t="s">
        <v>377</v>
      </c>
      <c r="H37" s="10" t="s">
        <v>378</v>
      </c>
      <c r="I37" s="10" t="s">
        <v>379</v>
      </c>
    </row>
    <row r="38" spans="1:9" ht="26.4" x14ac:dyDescent="0.3">
      <c r="A38" s="10" t="s">
        <v>380</v>
      </c>
      <c r="B38" s="10" t="s">
        <v>101</v>
      </c>
      <c r="C38" s="10" t="s">
        <v>381</v>
      </c>
      <c r="D38" s="10" t="s">
        <v>382</v>
      </c>
      <c r="E38" s="10" t="s">
        <v>205</v>
      </c>
      <c r="F38" s="10">
        <v>8</v>
      </c>
      <c r="G38" s="10" t="s">
        <v>383</v>
      </c>
      <c r="H38" s="10" t="s">
        <v>384</v>
      </c>
      <c r="I38" s="10" t="s">
        <v>385</v>
      </c>
    </row>
    <row r="39" spans="1:9" ht="26.4" x14ac:dyDescent="0.3">
      <c r="A39" s="10" t="s">
        <v>386</v>
      </c>
      <c r="B39" s="10" t="s">
        <v>101</v>
      </c>
      <c r="C39" s="10" t="s">
        <v>387</v>
      </c>
      <c r="D39" s="10" t="s">
        <v>388</v>
      </c>
      <c r="E39" s="10" t="s">
        <v>205</v>
      </c>
      <c r="F39" s="10">
        <v>5</v>
      </c>
      <c r="G39" s="10" t="s">
        <v>389</v>
      </c>
      <c r="H39" s="10" t="s">
        <v>228</v>
      </c>
      <c r="I39" s="10" t="s">
        <v>390</v>
      </c>
    </row>
    <row r="40" spans="1:9" ht="26.4" x14ac:dyDescent="0.3">
      <c r="A40" s="10" t="s">
        <v>391</v>
      </c>
      <c r="B40" s="10" t="s">
        <v>101</v>
      </c>
      <c r="C40" s="10" t="s">
        <v>392</v>
      </c>
      <c r="D40" s="10" t="s">
        <v>393</v>
      </c>
      <c r="E40" s="10" t="s">
        <v>222</v>
      </c>
      <c r="F40" s="10">
        <v>5</v>
      </c>
      <c r="G40" s="10" t="s">
        <v>394</v>
      </c>
      <c r="H40" s="10" t="s">
        <v>384</v>
      </c>
      <c r="I40" s="10" t="s">
        <v>395</v>
      </c>
    </row>
    <row r="41" spans="1:9" ht="26.4" x14ac:dyDescent="0.3">
      <c r="A41" s="10" t="s">
        <v>396</v>
      </c>
      <c r="B41" s="10" t="s">
        <v>101</v>
      </c>
      <c r="C41" s="10" t="s">
        <v>397</v>
      </c>
      <c r="D41" s="10" t="s">
        <v>398</v>
      </c>
      <c r="E41" s="10" t="s">
        <v>333</v>
      </c>
      <c r="F41" s="10">
        <v>5</v>
      </c>
      <c r="G41" s="10" t="s">
        <v>399</v>
      </c>
      <c r="H41" s="10" t="s">
        <v>350</v>
      </c>
      <c r="I41" s="10" t="s">
        <v>400</v>
      </c>
    </row>
    <row r="42" spans="1:9" ht="26.4" x14ac:dyDescent="0.3">
      <c r="A42" s="10" t="s">
        <v>401</v>
      </c>
      <c r="B42" s="10" t="s">
        <v>99</v>
      </c>
      <c r="C42" s="10" t="s">
        <v>402</v>
      </c>
      <c r="D42" s="10" t="s">
        <v>403</v>
      </c>
      <c r="E42" s="10" t="s">
        <v>333</v>
      </c>
      <c r="F42" s="10">
        <v>5</v>
      </c>
      <c r="G42" s="10" t="s">
        <v>404</v>
      </c>
      <c r="H42" s="10" t="s">
        <v>313</v>
      </c>
      <c r="I42" s="10" t="s">
        <v>405</v>
      </c>
    </row>
    <row r="43" spans="1:9" x14ac:dyDescent="0.3">
      <c r="A43" s="10" t="s">
        <v>406</v>
      </c>
      <c r="B43" s="10" t="s">
        <v>97</v>
      </c>
      <c r="C43" s="10" t="s">
        <v>407</v>
      </c>
      <c r="D43" s="10" t="s">
        <v>408</v>
      </c>
      <c r="E43" s="10" t="s">
        <v>222</v>
      </c>
      <c r="F43" s="10">
        <v>3</v>
      </c>
      <c r="G43" s="10" t="s">
        <v>409</v>
      </c>
      <c r="H43" s="10" t="s">
        <v>280</v>
      </c>
      <c r="I43" s="10" t="s">
        <v>325</v>
      </c>
    </row>
  </sheetData>
  <dataValidations count="1">
    <dataValidation type="list" allowBlank="1" sqref="E5:E43" xr:uid="{00000000-0002-0000-0300-000000000000}">
      <formula1>"Must,Should,Could,Won't"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5"/>
  </sheetPr>
  <dimension ref="A1:M17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L7" sqref="L7"/>
    </sheetView>
  </sheetViews>
  <sheetFormatPr defaultColWidth="8.77734375" defaultRowHeight="14.4" x14ac:dyDescent="0.3"/>
  <cols>
    <col min="1" max="1" width="7.88671875" customWidth="1"/>
    <col min="2" max="2" width="26" customWidth="1"/>
    <col min="3" max="3" width="9" customWidth="1"/>
    <col min="4" max="4" width="44" customWidth="1"/>
    <col min="5" max="6" width="30" customWidth="1"/>
    <col min="7" max="7" width="32" customWidth="1"/>
    <col min="8" max="8" width="34" customWidth="1"/>
    <col min="9" max="9" width="14" customWidth="1"/>
    <col min="10" max="10" width="34" customWidth="1"/>
    <col min="11" max="11" width="39.88671875" customWidth="1"/>
    <col min="12" max="12" width="28" customWidth="1"/>
    <col min="13" max="13" width="26" customWidth="1"/>
  </cols>
  <sheetData>
    <row r="1" spans="1:13" ht="17.399999999999999" x14ac:dyDescent="0.3">
      <c r="A1" s="4" t="s">
        <v>410</v>
      </c>
    </row>
    <row r="2" spans="1:13" x14ac:dyDescent="0.3">
      <c r="A2" s="5" t="s">
        <v>411</v>
      </c>
    </row>
    <row r="4" spans="1:13" ht="33.75" customHeight="1" x14ac:dyDescent="0.3">
      <c r="A4" s="6" t="s">
        <v>412</v>
      </c>
      <c r="B4" s="6" t="s">
        <v>200</v>
      </c>
      <c r="C4" s="6" t="s">
        <v>90</v>
      </c>
      <c r="D4" s="6" t="s">
        <v>413</v>
      </c>
      <c r="E4" s="6" t="s">
        <v>414</v>
      </c>
      <c r="F4" s="6" t="s">
        <v>415</v>
      </c>
      <c r="G4" s="6" t="s">
        <v>416</v>
      </c>
      <c r="H4" s="6" t="s">
        <v>417</v>
      </c>
      <c r="I4" s="6" t="s">
        <v>418</v>
      </c>
      <c r="J4" s="6" t="s">
        <v>419</v>
      </c>
      <c r="K4" s="6" t="s">
        <v>420</v>
      </c>
      <c r="L4" s="6" t="s">
        <v>421</v>
      </c>
      <c r="M4" s="6" t="s">
        <v>422</v>
      </c>
    </row>
    <row r="5" spans="1:13" ht="26.4" x14ac:dyDescent="0.3">
      <c r="A5" s="10" t="s">
        <v>423</v>
      </c>
      <c r="B5" s="10" t="s">
        <v>424</v>
      </c>
      <c r="C5" s="10" t="s">
        <v>425</v>
      </c>
      <c r="D5" s="10" t="s">
        <v>426</v>
      </c>
      <c r="E5" s="10" t="s">
        <v>427</v>
      </c>
      <c r="F5" s="10" t="s">
        <v>428</v>
      </c>
      <c r="G5" s="10" t="s">
        <v>429</v>
      </c>
      <c r="H5" s="10" t="s">
        <v>430</v>
      </c>
      <c r="I5" s="10" t="s">
        <v>431</v>
      </c>
      <c r="J5" s="10" t="s">
        <v>432</v>
      </c>
      <c r="K5" s="10" t="s">
        <v>433</v>
      </c>
      <c r="L5" s="10" t="s">
        <v>434</v>
      </c>
      <c r="M5" s="10" t="s">
        <v>435</v>
      </c>
    </row>
    <row r="6" spans="1:13" ht="39.6" x14ac:dyDescent="0.3">
      <c r="A6" s="10" t="s">
        <v>436</v>
      </c>
      <c r="B6" s="10" t="s">
        <v>437</v>
      </c>
      <c r="C6" s="10" t="s">
        <v>95</v>
      </c>
      <c r="D6" s="10" t="s">
        <v>438</v>
      </c>
      <c r="E6" s="10" t="s">
        <v>439</v>
      </c>
      <c r="F6" s="10" t="s">
        <v>440</v>
      </c>
      <c r="G6" s="10" t="s">
        <v>441</v>
      </c>
      <c r="H6" s="10" t="s">
        <v>442</v>
      </c>
      <c r="I6" s="10" t="s">
        <v>443</v>
      </c>
      <c r="J6" s="10" t="s">
        <v>444</v>
      </c>
      <c r="K6" s="10" t="s">
        <v>445</v>
      </c>
      <c r="L6" s="10" t="s">
        <v>446</v>
      </c>
      <c r="M6" s="10" t="s">
        <v>447</v>
      </c>
    </row>
    <row r="7" spans="1:13" ht="26.4" x14ac:dyDescent="0.3">
      <c r="A7" s="10" t="s">
        <v>448</v>
      </c>
      <c r="B7" s="10" t="s">
        <v>449</v>
      </c>
      <c r="C7" s="10" t="s">
        <v>95</v>
      </c>
      <c r="D7" s="10" t="s">
        <v>450</v>
      </c>
      <c r="E7" s="10" t="s">
        <v>451</v>
      </c>
      <c r="F7" s="10" t="s">
        <v>452</v>
      </c>
      <c r="G7" s="10" t="s">
        <v>453</v>
      </c>
      <c r="H7" s="10" t="s">
        <v>454</v>
      </c>
      <c r="I7" s="10" t="s">
        <v>443</v>
      </c>
      <c r="J7" s="10" t="s">
        <v>455</v>
      </c>
      <c r="K7" s="10" t="s">
        <v>456</v>
      </c>
      <c r="L7" s="10" t="s">
        <v>457</v>
      </c>
      <c r="M7" s="10" t="s">
        <v>458</v>
      </c>
    </row>
    <row r="8" spans="1:13" ht="39.6" x14ac:dyDescent="0.3">
      <c r="A8" s="10" t="s">
        <v>459</v>
      </c>
      <c r="B8" s="10" t="s">
        <v>460</v>
      </c>
      <c r="C8" s="10" t="s">
        <v>97</v>
      </c>
      <c r="D8" s="10" t="s">
        <v>461</v>
      </c>
      <c r="E8" s="10" t="s">
        <v>462</v>
      </c>
      <c r="F8" s="10" t="s">
        <v>463</v>
      </c>
      <c r="G8" s="10" t="s">
        <v>464</v>
      </c>
      <c r="H8" s="10" t="s">
        <v>465</v>
      </c>
      <c r="I8" s="10" t="s">
        <v>466</v>
      </c>
      <c r="J8" s="10" t="s">
        <v>467</v>
      </c>
      <c r="K8" s="10" t="s">
        <v>468</v>
      </c>
      <c r="L8" s="10" t="s">
        <v>469</v>
      </c>
      <c r="M8" s="10" t="s">
        <v>470</v>
      </c>
    </row>
    <row r="9" spans="1:13" ht="39.6" x14ac:dyDescent="0.3">
      <c r="A9" s="10" t="s">
        <v>471</v>
      </c>
      <c r="B9" s="10" t="s">
        <v>472</v>
      </c>
      <c r="C9" s="10" t="s">
        <v>97</v>
      </c>
      <c r="D9" s="10" t="s">
        <v>473</v>
      </c>
      <c r="E9" s="10" t="s">
        <v>474</v>
      </c>
      <c r="F9" s="10" t="s">
        <v>475</v>
      </c>
      <c r="G9" s="10" t="s">
        <v>476</v>
      </c>
      <c r="H9" s="10" t="s">
        <v>477</v>
      </c>
      <c r="I9" s="10" t="s">
        <v>478</v>
      </c>
      <c r="J9" s="10" t="s">
        <v>479</v>
      </c>
      <c r="K9" s="10" t="s">
        <v>480</v>
      </c>
      <c r="L9" s="10" t="s">
        <v>481</v>
      </c>
      <c r="M9" s="10" t="s">
        <v>482</v>
      </c>
    </row>
    <row r="10" spans="1:13" ht="39.6" x14ac:dyDescent="0.3">
      <c r="A10" s="10" t="s">
        <v>483</v>
      </c>
      <c r="B10" s="10" t="s">
        <v>484</v>
      </c>
      <c r="C10" s="10" t="s">
        <v>97</v>
      </c>
      <c r="D10" s="10" t="s">
        <v>485</v>
      </c>
      <c r="E10" s="10" t="s">
        <v>486</v>
      </c>
      <c r="F10" s="10" t="s">
        <v>487</v>
      </c>
      <c r="G10" s="10" t="s">
        <v>488</v>
      </c>
      <c r="H10" s="10" t="s">
        <v>489</v>
      </c>
      <c r="I10" s="10" t="s">
        <v>443</v>
      </c>
      <c r="J10" s="10" t="s">
        <v>490</v>
      </c>
      <c r="K10" s="10" t="s">
        <v>491</v>
      </c>
      <c r="L10" s="10" t="s">
        <v>492</v>
      </c>
      <c r="M10" s="10" t="s">
        <v>493</v>
      </c>
    </row>
    <row r="11" spans="1:13" ht="39.6" x14ac:dyDescent="0.3">
      <c r="A11" s="10" t="s">
        <v>494</v>
      </c>
      <c r="B11" s="10" t="s">
        <v>495</v>
      </c>
      <c r="C11" s="10" t="s">
        <v>99</v>
      </c>
      <c r="D11" s="10" t="s">
        <v>496</v>
      </c>
      <c r="E11" s="10" t="s">
        <v>497</v>
      </c>
      <c r="F11" s="10" t="s">
        <v>498</v>
      </c>
      <c r="G11" s="10" t="s">
        <v>499</v>
      </c>
      <c r="H11" s="10" t="s">
        <v>500</v>
      </c>
      <c r="I11" s="10" t="s">
        <v>501</v>
      </c>
      <c r="J11" s="10" t="s">
        <v>502</v>
      </c>
      <c r="K11" s="10" t="s">
        <v>503</v>
      </c>
      <c r="L11" s="10" t="s">
        <v>504</v>
      </c>
      <c r="M11" s="10" t="s">
        <v>505</v>
      </c>
    </row>
    <row r="12" spans="1:13" ht="26.4" x14ac:dyDescent="0.3">
      <c r="A12" s="10" t="s">
        <v>506</v>
      </c>
      <c r="B12" s="10" t="s">
        <v>507</v>
      </c>
      <c r="C12" s="10" t="s">
        <v>99</v>
      </c>
      <c r="D12" s="10" t="s">
        <v>508</v>
      </c>
      <c r="E12" s="10" t="s">
        <v>509</v>
      </c>
      <c r="F12" s="10" t="s">
        <v>510</v>
      </c>
      <c r="G12" s="10" t="s">
        <v>511</v>
      </c>
      <c r="H12" s="10" t="s">
        <v>512</v>
      </c>
      <c r="I12" s="10" t="s">
        <v>443</v>
      </c>
      <c r="J12" s="10" t="s">
        <v>513</v>
      </c>
      <c r="K12" s="10" t="s">
        <v>514</v>
      </c>
      <c r="L12" s="10" t="s">
        <v>515</v>
      </c>
      <c r="M12" s="10" t="s">
        <v>516</v>
      </c>
    </row>
    <row r="13" spans="1:13" ht="39.6" x14ac:dyDescent="0.3">
      <c r="A13" s="10" t="s">
        <v>517</v>
      </c>
      <c r="B13" s="10" t="s">
        <v>518</v>
      </c>
      <c r="C13" s="10" t="s">
        <v>99</v>
      </c>
      <c r="D13" s="10" t="s">
        <v>519</v>
      </c>
      <c r="E13" s="10" t="s">
        <v>520</v>
      </c>
      <c r="F13" s="10" t="s">
        <v>521</v>
      </c>
      <c r="G13" s="10" t="s">
        <v>522</v>
      </c>
      <c r="H13" s="10" t="s">
        <v>523</v>
      </c>
      <c r="I13" s="10" t="s">
        <v>443</v>
      </c>
      <c r="J13" s="10" t="s">
        <v>524</v>
      </c>
      <c r="K13" s="10" t="s">
        <v>525</v>
      </c>
      <c r="L13" s="10" t="s">
        <v>526</v>
      </c>
      <c r="M13" s="10" t="s">
        <v>527</v>
      </c>
    </row>
    <row r="14" spans="1:13" ht="26.4" x14ac:dyDescent="0.3">
      <c r="A14" s="10" t="s">
        <v>528</v>
      </c>
      <c r="B14" s="10" t="s">
        <v>529</v>
      </c>
      <c r="C14" s="10" t="s">
        <v>101</v>
      </c>
      <c r="D14" s="10" t="s">
        <v>530</v>
      </c>
      <c r="E14" s="10" t="s">
        <v>531</v>
      </c>
      <c r="F14" s="10" t="s">
        <v>532</v>
      </c>
      <c r="G14" s="10" t="s">
        <v>533</v>
      </c>
      <c r="H14" s="10" t="s">
        <v>534</v>
      </c>
      <c r="I14" s="10" t="s">
        <v>443</v>
      </c>
      <c r="J14" s="10" t="s">
        <v>535</v>
      </c>
      <c r="K14" s="10" t="s">
        <v>536</v>
      </c>
      <c r="L14" s="10" t="s">
        <v>537</v>
      </c>
      <c r="M14" s="10" t="s">
        <v>538</v>
      </c>
    </row>
    <row r="15" spans="1:13" ht="39.6" x14ac:dyDescent="0.3">
      <c r="A15" s="10" t="s">
        <v>539</v>
      </c>
      <c r="B15" s="10" t="s">
        <v>540</v>
      </c>
      <c r="C15" s="10" t="s">
        <v>101</v>
      </c>
      <c r="D15" s="10" t="s">
        <v>541</v>
      </c>
      <c r="E15" s="10" t="s">
        <v>542</v>
      </c>
      <c r="F15" s="10" t="s">
        <v>543</v>
      </c>
      <c r="G15" s="10" t="s">
        <v>544</v>
      </c>
      <c r="H15" s="10" t="s">
        <v>545</v>
      </c>
      <c r="I15" s="10" t="s">
        <v>546</v>
      </c>
      <c r="J15" s="10" t="s">
        <v>547</v>
      </c>
      <c r="K15" s="10" t="s">
        <v>548</v>
      </c>
      <c r="L15" s="10" t="s">
        <v>549</v>
      </c>
      <c r="M15" s="10" t="s">
        <v>550</v>
      </c>
    </row>
    <row r="16" spans="1:13" ht="26.4" x14ac:dyDescent="0.3">
      <c r="A16" s="10" t="s">
        <v>551</v>
      </c>
      <c r="B16" s="10" t="s">
        <v>552</v>
      </c>
      <c r="C16" s="10" t="s">
        <v>101</v>
      </c>
      <c r="D16" s="10" t="s">
        <v>553</v>
      </c>
      <c r="E16" s="10" t="s">
        <v>554</v>
      </c>
      <c r="F16" s="10" t="s">
        <v>555</v>
      </c>
      <c r="G16" s="10" t="s">
        <v>556</v>
      </c>
      <c r="H16" s="10" t="s">
        <v>557</v>
      </c>
      <c r="I16" s="10" t="s">
        <v>558</v>
      </c>
      <c r="J16" s="10" t="s">
        <v>559</v>
      </c>
      <c r="K16" s="10" t="s">
        <v>560</v>
      </c>
      <c r="L16" s="10" t="s">
        <v>561</v>
      </c>
      <c r="M16" s="10" t="s">
        <v>550</v>
      </c>
    </row>
    <row r="17" spans="1:13" ht="26.4" x14ac:dyDescent="0.3">
      <c r="A17" s="10" t="s">
        <v>562</v>
      </c>
      <c r="B17" s="10" t="s">
        <v>563</v>
      </c>
      <c r="C17" s="10" t="s">
        <v>101</v>
      </c>
      <c r="D17" s="10" t="s">
        <v>564</v>
      </c>
      <c r="E17" s="10" t="s">
        <v>565</v>
      </c>
      <c r="F17" s="10" t="s">
        <v>566</v>
      </c>
      <c r="G17" s="10" t="s">
        <v>567</v>
      </c>
      <c r="H17" s="10" t="s">
        <v>568</v>
      </c>
      <c r="I17" s="10" t="s">
        <v>569</v>
      </c>
      <c r="J17" s="10" t="s">
        <v>570</v>
      </c>
      <c r="K17" s="10" t="s">
        <v>571</v>
      </c>
      <c r="L17" s="10" t="s">
        <v>572</v>
      </c>
      <c r="M17" s="10" t="s">
        <v>573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H28"/>
  <sheetViews>
    <sheetView zoomScaleNormal="100" workbookViewId="0">
      <pane xSplit="3" ySplit="4" topLeftCell="D11" activePane="bottomRight" state="frozen"/>
      <selection pane="topRight" activeCell="D1" sqref="D1"/>
      <selection pane="bottomLeft" activeCell="A5" sqref="A5"/>
      <selection pane="bottomRight" activeCell="H16" sqref="H16"/>
    </sheetView>
  </sheetViews>
  <sheetFormatPr defaultColWidth="8.77734375" defaultRowHeight="14.4" x14ac:dyDescent="0.3"/>
  <cols>
    <col min="1" max="1" width="7.88671875" customWidth="1"/>
    <col min="2" max="2" width="11.5546875" customWidth="1"/>
    <col min="3" max="3" width="18" customWidth="1"/>
    <col min="4" max="4" width="69.88671875" customWidth="1"/>
    <col min="5" max="5" width="30" customWidth="1"/>
    <col min="6" max="6" width="44" customWidth="1"/>
    <col min="7" max="7" width="26" customWidth="1"/>
    <col min="8" max="8" width="53.88671875" customWidth="1"/>
  </cols>
  <sheetData>
    <row r="1" spans="1:8" ht="17.399999999999999" x14ac:dyDescent="0.3">
      <c r="A1" s="4" t="s">
        <v>574</v>
      </c>
    </row>
    <row r="2" spans="1:8" x14ac:dyDescent="0.3">
      <c r="A2" s="5" t="s">
        <v>575</v>
      </c>
    </row>
    <row r="4" spans="1:8" ht="33.75" customHeight="1" x14ac:dyDescent="0.3">
      <c r="A4" s="6" t="s">
        <v>576</v>
      </c>
      <c r="B4" s="6" t="s">
        <v>577</v>
      </c>
      <c r="C4" s="6" t="s">
        <v>578</v>
      </c>
      <c r="D4" s="6" t="s">
        <v>579</v>
      </c>
      <c r="E4" s="6" t="s">
        <v>580</v>
      </c>
      <c r="F4" s="6" t="s">
        <v>581</v>
      </c>
      <c r="G4" s="6" t="s">
        <v>582</v>
      </c>
      <c r="H4" s="6" t="s">
        <v>583</v>
      </c>
    </row>
    <row r="5" spans="1:8" s="41" customFormat="1" ht="26.4" x14ac:dyDescent="0.3">
      <c r="A5" s="59" t="s">
        <v>584</v>
      </c>
      <c r="B5" s="59">
        <v>1</v>
      </c>
      <c r="C5" s="40" t="s">
        <v>585</v>
      </c>
      <c r="D5" s="40" t="s">
        <v>586</v>
      </c>
      <c r="E5" s="40" t="s">
        <v>587</v>
      </c>
      <c r="F5" s="40" t="s">
        <v>588</v>
      </c>
      <c r="G5" s="40" t="s">
        <v>589</v>
      </c>
      <c r="H5" s="40" t="s">
        <v>590</v>
      </c>
    </row>
    <row r="6" spans="1:8" s="41" customFormat="1" ht="50.55" customHeight="1" x14ac:dyDescent="0.3">
      <c r="A6" s="59" t="s">
        <v>591</v>
      </c>
      <c r="B6" s="59">
        <v>2</v>
      </c>
      <c r="C6" s="40" t="s">
        <v>592</v>
      </c>
      <c r="D6" s="40" t="s">
        <v>593</v>
      </c>
      <c r="E6" s="40" t="s">
        <v>594</v>
      </c>
      <c r="F6" s="40" t="s">
        <v>595</v>
      </c>
      <c r="G6" s="40" t="s">
        <v>596</v>
      </c>
      <c r="H6" s="40" t="s">
        <v>597</v>
      </c>
    </row>
    <row r="7" spans="1:8" s="41" customFormat="1" ht="26.4" x14ac:dyDescent="0.3">
      <c r="A7" s="59" t="s">
        <v>598</v>
      </c>
      <c r="B7" s="59">
        <v>3</v>
      </c>
      <c r="C7" s="40" t="s">
        <v>599</v>
      </c>
      <c r="D7" s="40" t="s">
        <v>600</v>
      </c>
      <c r="E7" s="40" t="s">
        <v>601</v>
      </c>
      <c r="F7" s="40" t="s">
        <v>602</v>
      </c>
      <c r="G7" s="40" t="s">
        <v>603</v>
      </c>
      <c r="H7" s="40" t="s">
        <v>604</v>
      </c>
    </row>
    <row r="8" spans="1:8" s="41" customFormat="1" ht="39.6" x14ac:dyDescent="0.3">
      <c r="A8" s="59" t="s">
        <v>605</v>
      </c>
      <c r="B8" s="59">
        <v>4</v>
      </c>
      <c r="C8" s="40" t="s">
        <v>606</v>
      </c>
      <c r="D8" s="40" t="s">
        <v>607</v>
      </c>
      <c r="E8" s="40" t="s">
        <v>608</v>
      </c>
      <c r="F8" s="40" t="s">
        <v>609</v>
      </c>
      <c r="G8" s="40" t="s">
        <v>610</v>
      </c>
      <c r="H8" s="40" t="s">
        <v>611</v>
      </c>
    </row>
    <row r="9" spans="1:8" s="41" customFormat="1" x14ac:dyDescent="0.3">
      <c r="A9" s="59" t="s">
        <v>612</v>
      </c>
      <c r="B9" s="59">
        <v>5</v>
      </c>
      <c r="C9" s="40" t="s">
        <v>613</v>
      </c>
      <c r="D9" s="40" t="s">
        <v>614</v>
      </c>
      <c r="E9" s="40" t="s">
        <v>615</v>
      </c>
      <c r="F9" s="40" t="s">
        <v>616</v>
      </c>
      <c r="G9" s="40" t="s">
        <v>617</v>
      </c>
      <c r="H9" s="40" t="s">
        <v>618</v>
      </c>
    </row>
    <row r="10" spans="1:8" s="41" customFormat="1" ht="39.6" x14ac:dyDescent="0.3">
      <c r="A10" s="59" t="s">
        <v>619</v>
      </c>
      <c r="B10" s="59">
        <v>6</v>
      </c>
      <c r="C10" s="40" t="s">
        <v>620</v>
      </c>
      <c r="D10" s="40" t="s">
        <v>621</v>
      </c>
      <c r="E10" s="40" t="s">
        <v>622</v>
      </c>
      <c r="F10" s="40" t="s">
        <v>623</v>
      </c>
      <c r="G10" s="40" t="s">
        <v>624</v>
      </c>
      <c r="H10" s="40" t="s">
        <v>625</v>
      </c>
    </row>
    <row r="11" spans="1:8" s="41" customFormat="1" ht="26.4" x14ac:dyDescent="0.3">
      <c r="A11" s="59" t="s">
        <v>626</v>
      </c>
      <c r="B11" s="59">
        <v>7</v>
      </c>
      <c r="C11" s="40" t="s">
        <v>627</v>
      </c>
      <c r="D11" s="40" t="s">
        <v>628</v>
      </c>
      <c r="E11" s="40" t="s">
        <v>629</v>
      </c>
      <c r="F11" s="40" t="s">
        <v>630</v>
      </c>
      <c r="G11" s="40" t="s">
        <v>631</v>
      </c>
      <c r="H11" s="40" t="s">
        <v>632</v>
      </c>
    </row>
    <row r="12" spans="1:8" s="41" customFormat="1" ht="26.4" x14ac:dyDescent="0.3">
      <c r="A12" s="59" t="s">
        <v>633</v>
      </c>
      <c r="B12" s="59">
        <v>8</v>
      </c>
      <c r="C12" s="40" t="s">
        <v>634</v>
      </c>
      <c r="D12" s="40" t="s">
        <v>635</v>
      </c>
      <c r="E12" s="40" t="s">
        <v>636</v>
      </c>
      <c r="F12" s="40" t="s">
        <v>637</v>
      </c>
      <c r="G12" s="40" t="s">
        <v>638</v>
      </c>
      <c r="H12" s="40" t="s">
        <v>639</v>
      </c>
    </row>
    <row r="13" spans="1:8" s="41" customFormat="1" ht="39.6" x14ac:dyDescent="0.3">
      <c r="A13" s="59" t="s">
        <v>640</v>
      </c>
      <c r="B13" s="59">
        <v>9</v>
      </c>
      <c r="C13" s="40" t="s">
        <v>641</v>
      </c>
      <c r="D13" s="40" t="s">
        <v>642</v>
      </c>
      <c r="E13" s="40" t="s">
        <v>643</v>
      </c>
      <c r="F13" s="40" t="s">
        <v>644</v>
      </c>
      <c r="G13" s="40" t="s">
        <v>645</v>
      </c>
      <c r="H13" s="40" t="s">
        <v>646</v>
      </c>
    </row>
    <row r="14" spans="1:8" s="41" customFormat="1" ht="26.4" x14ac:dyDescent="0.3">
      <c r="A14" s="59" t="s">
        <v>647</v>
      </c>
      <c r="B14" s="59">
        <v>10</v>
      </c>
      <c r="C14" s="40" t="s">
        <v>648</v>
      </c>
      <c r="D14" s="40" t="s">
        <v>649</v>
      </c>
      <c r="E14" s="40" t="s">
        <v>650</v>
      </c>
      <c r="F14" s="40" t="s">
        <v>651</v>
      </c>
      <c r="G14" s="40" t="s">
        <v>650</v>
      </c>
      <c r="H14" s="40" t="s">
        <v>652</v>
      </c>
    </row>
    <row r="15" spans="1:8" s="41" customFormat="1" ht="26.4" x14ac:dyDescent="0.3">
      <c r="A15" s="59" t="s">
        <v>653</v>
      </c>
      <c r="B15" s="59">
        <v>11</v>
      </c>
      <c r="C15" s="40" t="s">
        <v>654</v>
      </c>
      <c r="D15" s="40" t="s">
        <v>655</v>
      </c>
      <c r="E15" s="40" t="s">
        <v>656</v>
      </c>
      <c r="F15" s="40" t="s">
        <v>657</v>
      </c>
      <c r="G15" s="40" t="s">
        <v>658</v>
      </c>
      <c r="H15" s="40" t="s">
        <v>659</v>
      </c>
    </row>
    <row r="16" spans="1:8" s="41" customFormat="1" ht="26.4" x14ac:dyDescent="0.3">
      <c r="A16" s="59" t="s">
        <v>660</v>
      </c>
      <c r="B16" s="59">
        <v>12</v>
      </c>
      <c r="C16" s="40" t="s">
        <v>661</v>
      </c>
      <c r="D16" s="40" t="s">
        <v>662</v>
      </c>
      <c r="E16" s="40" t="s">
        <v>663</v>
      </c>
      <c r="F16" s="40" t="s">
        <v>664</v>
      </c>
      <c r="G16" s="40" t="s">
        <v>665</v>
      </c>
      <c r="H16" s="40" t="s">
        <v>666</v>
      </c>
    </row>
    <row r="19" spans="1:4" x14ac:dyDescent="0.3">
      <c r="A19" s="8" t="s">
        <v>667</v>
      </c>
    </row>
    <row r="20" spans="1:4" ht="26.4" x14ac:dyDescent="0.3">
      <c r="A20" s="6" t="s">
        <v>668</v>
      </c>
      <c r="B20" s="6" t="s">
        <v>669</v>
      </c>
      <c r="C20" s="6" t="s">
        <v>670</v>
      </c>
      <c r="D20" s="6" t="s">
        <v>671</v>
      </c>
    </row>
    <row r="21" spans="1:4" s="41" customFormat="1" ht="79.2" x14ac:dyDescent="0.3">
      <c r="A21" s="22">
        <v>1</v>
      </c>
      <c r="B21" s="22" t="s">
        <v>672</v>
      </c>
      <c r="C21" s="22" t="s">
        <v>673</v>
      </c>
      <c r="D21" s="22" t="s">
        <v>674</v>
      </c>
    </row>
    <row r="22" spans="1:4" s="41" customFormat="1" ht="105.6" x14ac:dyDescent="0.3">
      <c r="A22" s="22">
        <v>2</v>
      </c>
      <c r="B22" s="22" t="s">
        <v>675</v>
      </c>
      <c r="C22" s="22" t="s">
        <v>676</v>
      </c>
      <c r="D22" s="22" t="s">
        <v>677</v>
      </c>
    </row>
    <row r="23" spans="1:4" s="41" customFormat="1" ht="118.8" x14ac:dyDescent="0.3">
      <c r="A23" s="22">
        <v>3</v>
      </c>
      <c r="B23" s="22" t="s">
        <v>678</v>
      </c>
      <c r="C23" s="22" t="s">
        <v>679</v>
      </c>
      <c r="D23" s="22" t="s">
        <v>680</v>
      </c>
    </row>
    <row r="24" spans="1:4" s="41" customFormat="1" ht="145.19999999999999" x14ac:dyDescent="0.3">
      <c r="A24" s="22">
        <v>4</v>
      </c>
      <c r="B24" s="22" t="s">
        <v>681</v>
      </c>
      <c r="C24" s="22" t="s">
        <v>682</v>
      </c>
      <c r="D24" s="22" t="s">
        <v>683</v>
      </c>
    </row>
    <row r="25" spans="1:4" s="41" customFormat="1" ht="132" x14ac:dyDescent="0.3">
      <c r="A25" s="22">
        <v>5</v>
      </c>
      <c r="B25" s="22" t="s">
        <v>684</v>
      </c>
      <c r="C25" s="22" t="s">
        <v>685</v>
      </c>
      <c r="D25" s="22" t="s">
        <v>686</v>
      </c>
    </row>
    <row r="26" spans="1:4" s="41" customFormat="1" ht="92.4" x14ac:dyDescent="0.3">
      <c r="A26" s="22">
        <v>6</v>
      </c>
      <c r="B26" s="22" t="s">
        <v>687</v>
      </c>
      <c r="C26" s="22" t="s">
        <v>688</v>
      </c>
      <c r="D26" s="22" t="s">
        <v>689</v>
      </c>
    </row>
    <row r="27" spans="1:4" s="41" customFormat="1" ht="79.2" x14ac:dyDescent="0.3">
      <c r="A27" s="22">
        <v>7</v>
      </c>
      <c r="B27" s="22" t="s">
        <v>690</v>
      </c>
      <c r="C27" s="22" t="s">
        <v>691</v>
      </c>
      <c r="D27" s="22" t="s">
        <v>692</v>
      </c>
    </row>
    <row r="28" spans="1:4" s="41" customFormat="1" ht="92.4" x14ac:dyDescent="0.3">
      <c r="A28" s="22">
        <v>8</v>
      </c>
      <c r="B28" s="22" t="s">
        <v>693</v>
      </c>
      <c r="C28" s="22" t="s">
        <v>694</v>
      </c>
      <c r="D28" s="22" t="s">
        <v>695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E75B6"/>
  </sheetPr>
  <dimension ref="A1:J20"/>
  <sheetViews>
    <sheetView topLeftCell="A9" zoomScaleNormal="100" workbookViewId="0">
      <selection activeCell="A14" sqref="A14"/>
    </sheetView>
  </sheetViews>
  <sheetFormatPr defaultColWidth="8.77734375" defaultRowHeight="14.4" x14ac:dyDescent="0.3"/>
  <cols>
    <col min="1" max="1" width="26" style="14" customWidth="1"/>
    <col min="2" max="2" width="44" style="14" customWidth="1"/>
    <col min="3" max="3" width="30" style="14" customWidth="1"/>
    <col min="4" max="4" width="16" style="14" customWidth="1"/>
    <col min="5" max="5" width="42" style="14" customWidth="1"/>
    <col min="6" max="6" width="37.88671875" style="14" customWidth="1"/>
    <col min="7" max="7" width="26" style="14" customWidth="1"/>
    <col min="8" max="8" width="28" style="14" customWidth="1"/>
    <col min="9" max="9" width="14" style="14" customWidth="1"/>
    <col min="10" max="10" width="46" style="14" customWidth="1"/>
    <col min="11" max="16384" width="8.77734375" style="14"/>
  </cols>
  <sheetData>
    <row r="1" spans="1:10" ht="17.399999999999999" x14ac:dyDescent="0.3">
      <c r="A1" s="90" t="s">
        <v>696</v>
      </c>
      <c r="B1" s="90"/>
    </row>
    <row r="2" spans="1:10" x14ac:dyDescent="0.3">
      <c r="A2" s="15" t="s">
        <v>697</v>
      </c>
    </row>
    <row r="4" spans="1:10" s="37" customFormat="1" ht="39.6" x14ac:dyDescent="0.3">
      <c r="A4" s="6" t="s">
        <v>67</v>
      </c>
      <c r="B4" s="6" t="s">
        <v>698</v>
      </c>
      <c r="C4" s="6" t="s">
        <v>71</v>
      </c>
      <c r="D4" s="6" t="s">
        <v>70</v>
      </c>
      <c r="E4" s="6" t="s">
        <v>699</v>
      </c>
      <c r="F4" s="6" t="s">
        <v>700</v>
      </c>
      <c r="G4" s="6" t="s">
        <v>701</v>
      </c>
      <c r="H4" s="6" t="s">
        <v>702</v>
      </c>
      <c r="I4" s="6" t="s">
        <v>703</v>
      </c>
      <c r="J4" s="6" t="s">
        <v>704</v>
      </c>
    </row>
    <row r="5" spans="1:10" ht="26.4" x14ac:dyDescent="0.3">
      <c r="A5" s="11" t="str">
        <f>Config!B28</f>
        <v>T0 - Stop</v>
      </c>
      <c r="B5" s="62" t="s">
        <v>705</v>
      </c>
      <c r="C5" s="12" t="s">
        <v>706</v>
      </c>
      <c r="D5" s="60">
        <v>7</v>
      </c>
      <c r="E5" s="7" t="s">
        <v>707</v>
      </c>
      <c r="F5" s="7" t="s">
        <v>708</v>
      </c>
      <c r="G5" s="7" t="s">
        <v>709</v>
      </c>
      <c r="H5" s="7" t="s">
        <v>710</v>
      </c>
      <c r="I5" s="22">
        <v>2</v>
      </c>
      <c r="J5" s="7" t="s">
        <v>711</v>
      </c>
    </row>
    <row r="6" spans="1:10" ht="26.4" x14ac:dyDescent="0.3">
      <c r="A6" s="11" t="str">
        <f>Config!B29</f>
        <v>T1 - Critical</v>
      </c>
      <c r="B6" s="63" t="s">
        <v>712</v>
      </c>
      <c r="C6" s="12" t="s">
        <v>713</v>
      </c>
      <c r="D6" s="60">
        <v>30</v>
      </c>
      <c r="E6" s="7" t="s">
        <v>714</v>
      </c>
      <c r="F6" s="7" t="s">
        <v>715</v>
      </c>
      <c r="G6" s="7" t="s">
        <v>716</v>
      </c>
      <c r="H6" s="7" t="s">
        <v>717</v>
      </c>
      <c r="I6" s="22">
        <v>5</v>
      </c>
      <c r="J6" s="7" t="s">
        <v>718</v>
      </c>
    </row>
    <row r="7" spans="1:10" ht="26.4" x14ac:dyDescent="0.3">
      <c r="A7" s="11" t="str">
        <f>Config!B30</f>
        <v>T2 - Elevated</v>
      </c>
      <c r="B7" s="64" t="s">
        <v>719</v>
      </c>
      <c r="C7" s="12" t="s">
        <v>720</v>
      </c>
      <c r="D7" s="60">
        <v>60</v>
      </c>
      <c r="E7" s="7" t="s">
        <v>721</v>
      </c>
      <c r="F7" s="7" t="s">
        <v>722</v>
      </c>
      <c r="G7" s="7" t="s">
        <v>723</v>
      </c>
      <c r="H7" s="7" t="s">
        <v>724</v>
      </c>
      <c r="I7" s="22">
        <v>3</v>
      </c>
      <c r="J7" s="7" t="s">
        <v>725</v>
      </c>
    </row>
    <row r="8" spans="1:10" ht="26.4" x14ac:dyDescent="0.3">
      <c r="A8" s="11" t="str">
        <f>Config!B31</f>
        <v>T3 - Standard</v>
      </c>
      <c r="B8" s="65" t="s">
        <v>726</v>
      </c>
      <c r="C8" s="12" t="s">
        <v>727</v>
      </c>
      <c r="D8" s="60">
        <v>120</v>
      </c>
      <c r="E8" s="7" t="s">
        <v>728</v>
      </c>
      <c r="F8" s="7" t="s">
        <v>729</v>
      </c>
      <c r="G8" s="7" t="s">
        <v>730</v>
      </c>
      <c r="H8" s="7" t="s">
        <v>731</v>
      </c>
      <c r="I8" s="22">
        <v>2</v>
      </c>
      <c r="J8" s="7" t="s">
        <v>732</v>
      </c>
    </row>
    <row r="11" spans="1:10" x14ac:dyDescent="0.3">
      <c r="A11" s="17" t="s">
        <v>733</v>
      </c>
    </row>
    <row r="12" spans="1:10" x14ac:dyDescent="0.3">
      <c r="A12" s="16" t="s">
        <v>61</v>
      </c>
      <c r="B12" s="16" t="s">
        <v>734</v>
      </c>
      <c r="C12" s="16" t="s">
        <v>735</v>
      </c>
      <c r="D12" s="16" t="s">
        <v>736</v>
      </c>
      <c r="E12" s="16" t="s">
        <v>737</v>
      </c>
    </row>
    <row r="13" spans="1:10" ht="39.6" x14ac:dyDescent="0.3">
      <c r="A13" s="7" t="s">
        <v>705</v>
      </c>
      <c r="B13" s="7" t="s">
        <v>738</v>
      </c>
      <c r="C13" s="7" t="s">
        <v>739</v>
      </c>
      <c r="D13" s="7" t="s">
        <v>740</v>
      </c>
      <c r="E13" s="7" t="s">
        <v>741</v>
      </c>
    </row>
    <row r="14" spans="1:10" ht="92.4" x14ac:dyDescent="0.3">
      <c r="A14" s="7" t="s">
        <v>742</v>
      </c>
      <c r="B14" s="7" t="s">
        <v>743</v>
      </c>
      <c r="C14" s="7" t="s">
        <v>744</v>
      </c>
      <c r="D14" s="7" t="s">
        <v>745</v>
      </c>
      <c r="E14" s="7" t="s">
        <v>746</v>
      </c>
    </row>
    <row r="15" spans="1:10" x14ac:dyDescent="0.3">
      <c r="A15" s="7" t="s">
        <v>747</v>
      </c>
      <c r="B15" s="7" t="s">
        <v>748</v>
      </c>
      <c r="C15" s="7" t="s">
        <v>749</v>
      </c>
      <c r="D15" s="7" t="s">
        <v>740</v>
      </c>
      <c r="E15" s="7" t="s">
        <v>746</v>
      </c>
    </row>
    <row r="16" spans="1:10" ht="26.4" x14ac:dyDescent="0.3">
      <c r="A16" s="7" t="s">
        <v>342</v>
      </c>
      <c r="B16" s="7" t="s">
        <v>750</v>
      </c>
      <c r="C16" s="7" t="s">
        <v>751</v>
      </c>
      <c r="D16" s="7" t="s">
        <v>752</v>
      </c>
      <c r="E16" s="7" t="s">
        <v>746</v>
      </c>
    </row>
    <row r="17" spans="1:5" ht="39.6" x14ac:dyDescent="0.3">
      <c r="A17" s="7" t="s">
        <v>753</v>
      </c>
      <c r="B17" s="7" t="s">
        <v>754</v>
      </c>
      <c r="C17" s="7" t="s">
        <v>755</v>
      </c>
      <c r="D17" s="7" t="s">
        <v>752</v>
      </c>
      <c r="E17" s="7" t="s">
        <v>746</v>
      </c>
    </row>
    <row r="18" spans="1:5" ht="39.6" x14ac:dyDescent="0.3">
      <c r="A18" s="7" t="s">
        <v>756</v>
      </c>
      <c r="B18" s="7" t="s">
        <v>757</v>
      </c>
      <c r="C18" s="7" t="s">
        <v>758</v>
      </c>
      <c r="D18" s="7" t="s">
        <v>740</v>
      </c>
      <c r="E18" s="7" t="s">
        <v>746</v>
      </c>
    </row>
    <row r="19" spans="1:5" ht="26.4" x14ac:dyDescent="0.3">
      <c r="A19" s="7" t="s">
        <v>759</v>
      </c>
      <c r="B19" s="7" t="s">
        <v>760</v>
      </c>
      <c r="C19" s="7" t="s">
        <v>761</v>
      </c>
      <c r="D19" s="7" t="s">
        <v>740</v>
      </c>
      <c r="E19" s="7" t="s">
        <v>762</v>
      </c>
    </row>
    <row r="20" spans="1:5" x14ac:dyDescent="0.3">
      <c r="A20" s="7" t="s">
        <v>763</v>
      </c>
      <c r="B20" s="7" t="s">
        <v>764</v>
      </c>
      <c r="C20" s="7" t="s">
        <v>762</v>
      </c>
      <c r="D20" s="7" t="s">
        <v>762</v>
      </c>
      <c r="E20" s="7" t="s">
        <v>762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6" tint="-0.249977111117893"/>
  </sheetPr>
  <dimension ref="A1:J28"/>
  <sheetViews>
    <sheetView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9" sqref="C9"/>
    </sheetView>
  </sheetViews>
  <sheetFormatPr defaultColWidth="8.77734375" defaultRowHeight="14.4" x14ac:dyDescent="0.3"/>
  <cols>
    <col min="1" max="1" width="7.88671875" customWidth="1"/>
    <col min="2" max="2" width="23.88671875" customWidth="1"/>
    <col min="3" max="3" width="44" customWidth="1"/>
    <col min="4" max="4" width="26" customWidth="1"/>
    <col min="5" max="5" width="22.109375" customWidth="1"/>
    <col min="6" max="6" width="26" customWidth="1"/>
    <col min="7" max="7" width="23.88671875" customWidth="1"/>
    <col min="8" max="8" width="32" customWidth="1"/>
    <col min="9" max="9" width="12" customWidth="1"/>
    <col min="10" max="10" width="9.88671875" customWidth="1"/>
  </cols>
  <sheetData>
    <row r="1" spans="1:10" ht="17.399999999999999" x14ac:dyDescent="0.3">
      <c r="A1" s="91" t="s">
        <v>765</v>
      </c>
      <c r="B1" s="91"/>
      <c r="C1" s="91"/>
      <c r="D1" s="91"/>
      <c r="E1" s="91"/>
      <c r="F1" s="91"/>
      <c r="G1" s="91"/>
    </row>
    <row r="2" spans="1:10" x14ac:dyDescent="0.3">
      <c r="A2" s="5" t="s">
        <v>766</v>
      </c>
    </row>
    <row r="4" spans="1:10" ht="33.75" customHeight="1" x14ac:dyDescent="0.3">
      <c r="A4" s="6" t="s">
        <v>767</v>
      </c>
      <c r="B4" s="6" t="s">
        <v>768</v>
      </c>
      <c r="C4" s="6" t="s">
        <v>769</v>
      </c>
      <c r="D4" s="6" t="s">
        <v>770</v>
      </c>
      <c r="E4" s="6" t="s">
        <v>771</v>
      </c>
      <c r="F4" s="6" t="s">
        <v>772</v>
      </c>
      <c r="G4" s="6" t="s">
        <v>773</v>
      </c>
      <c r="H4" s="6" t="s">
        <v>774</v>
      </c>
      <c r="I4" s="6" t="s">
        <v>775</v>
      </c>
      <c r="J4" s="6" t="s">
        <v>776</v>
      </c>
    </row>
    <row r="5" spans="1:10" ht="26.4" x14ac:dyDescent="0.3">
      <c r="A5" s="10" t="s">
        <v>777</v>
      </c>
      <c r="B5" s="10" t="s">
        <v>778</v>
      </c>
      <c r="C5" s="10" t="s">
        <v>779</v>
      </c>
      <c r="D5" s="10" t="s">
        <v>780</v>
      </c>
      <c r="E5" s="10" t="s">
        <v>781</v>
      </c>
      <c r="F5" s="10" t="s">
        <v>782</v>
      </c>
      <c r="G5" s="10" t="s">
        <v>783</v>
      </c>
      <c r="H5" s="10" t="s">
        <v>784</v>
      </c>
      <c r="I5" s="10" t="s">
        <v>785</v>
      </c>
      <c r="J5" s="10" t="s">
        <v>786</v>
      </c>
    </row>
    <row r="6" spans="1:10" ht="26.4" x14ac:dyDescent="0.3">
      <c r="A6" s="10" t="s">
        <v>787</v>
      </c>
      <c r="B6" s="10" t="s">
        <v>788</v>
      </c>
      <c r="C6" s="10" t="s">
        <v>789</v>
      </c>
      <c r="D6" s="10" t="s">
        <v>790</v>
      </c>
      <c r="E6" s="10" t="s">
        <v>791</v>
      </c>
      <c r="F6" s="10" t="s">
        <v>792</v>
      </c>
      <c r="G6" s="10" t="s">
        <v>783</v>
      </c>
      <c r="H6" s="10" t="s">
        <v>793</v>
      </c>
      <c r="I6" s="10" t="s">
        <v>443</v>
      </c>
      <c r="J6" s="10" t="s">
        <v>517</v>
      </c>
    </row>
    <row r="7" spans="1:10" ht="26.4" x14ac:dyDescent="0.3">
      <c r="A7" s="10" t="s">
        <v>794</v>
      </c>
      <c r="B7" s="10" t="s">
        <v>795</v>
      </c>
      <c r="C7" s="10" t="s">
        <v>796</v>
      </c>
      <c r="D7" s="10" t="s">
        <v>797</v>
      </c>
      <c r="E7" s="10" t="s">
        <v>798</v>
      </c>
      <c r="F7" s="10" t="s">
        <v>799</v>
      </c>
      <c r="G7" s="10" t="s">
        <v>800</v>
      </c>
      <c r="H7" s="10" t="s">
        <v>801</v>
      </c>
      <c r="I7" s="10" t="s">
        <v>443</v>
      </c>
      <c r="J7" s="10" t="s">
        <v>517</v>
      </c>
    </row>
    <row r="8" spans="1:10" ht="26.4" x14ac:dyDescent="0.3">
      <c r="A8" s="10" t="s">
        <v>802</v>
      </c>
      <c r="B8" s="10" t="s">
        <v>803</v>
      </c>
      <c r="C8" s="10" t="s">
        <v>804</v>
      </c>
      <c r="D8" s="10" t="s">
        <v>805</v>
      </c>
      <c r="E8" s="10" t="s">
        <v>806</v>
      </c>
      <c r="F8" s="10" t="s">
        <v>807</v>
      </c>
      <c r="G8" s="10" t="s">
        <v>800</v>
      </c>
      <c r="H8" s="10" t="s">
        <v>808</v>
      </c>
      <c r="I8" s="10" t="s">
        <v>443</v>
      </c>
      <c r="J8" s="10" t="s">
        <v>809</v>
      </c>
    </row>
    <row r="9" spans="1:10" x14ac:dyDescent="0.3">
      <c r="A9" s="10" t="s">
        <v>810</v>
      </c>
      <c r="B9" s="10" t="s">
        <v>811</v>
      </c>
      <c r="C9" s="10" t="s">
        <v>812</v>
      </c>
      <c r="D9" s="10" t="s">
        <v>813</v>
      </c>
      <c r="E9" s="10" t="s">
        <v>814</v>
      </c>
      <c r="F9" s="10" t="s">
        <v>815</v>
      </c>
      <c r="G9" s="10" t="s">
        <v>816</v>
      </c>
      <c r="H9" s="10" t="s">
        <v>817</v>
      </c>
      <c r="I9" s="10" t="s">
        <v>785</v>
      </c>
      <c r="J9" s="10" t="s">
        <v>809</v>
      </c>
    </row>
    <row r="10" spans="1:10" x14ac:dyDescent="0.3">
      <c r="A10" s="10" t="s">
        <v>818</v>
      </c>
      <c r="B10" s="10" t="s">
        <v>819</v>
      </c>
      <c r="C10" s="10" t="s">
        <v>820</v>
      </c>
      <c r="D10" s="10" t="s">
        <v>821</v>
      </c>
      <c r="E10" s="10" t="s">
        <v>822</v>
      </c>
      <c r="F10" s="10" t="s">
        <v>823</v>
      </c>
      <c r="G10" s="10" t="s">
        <v>824</v>
      </c>
      <c r="H10" s="10" t="s">
        <v>825</v>
      </c>
      <c r="I10" s="10" t="s">
        <v>785</v>
      </c>
      <c r="J10" s="10" t="s">
        <v>809</v>
      </c>
    </row>
    <row r="11" spans="1:10" x14ac:dyDescent="0.3">
      <c r="A11" s="10" t="s">
        <v>826</v>
      </c>
      <c r="B11" s="10" t="s">
        <v>827</v>
      </c>
      <c r="C11" s="10" t="s">
        <v>828</v>
      </c>
      <c r="D11" s="10" t="s">
        <v>829</v>
      </c>
      <c r="E11" s="10" t="s">
        <v>830</v>
      </c>
      <c r="F11" s="10" t="s">
        <v>831</v>
      </c>
      <c r="G11" s="10" t="s">
        <v>824</v>
      </c>
      <c r="H11" s="10" t="s">
        <v>832</v>
      </c>
      <c r="I11" s="10" t="s">
        <v>443</v>
      </c>
      <c r="J11" s="10" t="s">
        <v>517</v>
      </c>
    </row>
    <row r="12" spans="1:10" ht="26.4" x14ac:dyDescent="0.3">
      <c r="A12" s="10" t="s">
        <v>833</v>
      </c>
      <c r="B12" s="10" t="s">
        <v>834</v>
      </c>
      <c r="C12" s="10" t="s">
        <v>835</v>
      </c>
      <c r="D12" s="10" t="s">
        <v>836</v>
      </c>
      <c r="E12" s="10" t="s">
        <v>837</v>
      </c>
      <c r="F12" s="10" t="s">
        <v>838</v>
      </c>
      <c r="G12" s="10" t="s">
        <v>824</v>
      </c>
      <c r="H12" s="10" t="s">
        <v>839</v>
      </c>
      <c r="I12" s="10" t="s">
        <v>443</v>
      </c>
      <c r="J12" s="10" t="s">
        <v>517</v>
      </c>
    </row>
    <row r="13" spans="1:10" ht="26.4" x14ac:dyDescent="0.3">
      <c r="A13" s="10" t="s">
        <v>840</v>
      </c>
      <c r="B13" s="10" t="s">
        <v>841</v>
      </c>
      <c r="C13" s="10" t="s">
        <v>842</v>
      </c>
      <c r="D13" s="10" t="s">
        <v>843</v>
      </c>
      <c r="E13" s="10" t="s">
        <v>844</v>
      </c>
      <c r="F13" s="10" t="s">
        <v>845</v>
      </c>
      <c r="G13" s="10" t="s">
        <v>800</v>
      </c>
      <c r="H13" s="10" t="s">
        <v>846</v>
      </c>
      <c r="I13" s="10" t="s">
        <v>443</v>
      </c>
      <c r="J13" s="10" t="s">
        <v>809</v>
      </c>
    </row>
    <row r="14" spans="1:10" x14ac:dyDescent="0.3">
      <c r="A14" s="10" t="s">
        <v>647</v>
      </c>
      <c r="B14" s="10" t="s">
        <v>847</v>
      </c>
      <c r="C14" s="10" t="s">
        <v>848</v>
      </c>
      <c r="D14" s="10" t="s">
        <v>849</v>
      </c>
      <c r="E14" s="10" t="s">
        <v>850</v>
      </c>
      <c r="F14" s="10" t="s">
        <v>851</v>
      </c>
      <c r="G14" s="10" t="s">
        <v>800</v>
      </c>
      <c r="H14" s="10" t="s">
        <v>852</v>
      </c>
      <c r="I14" s="10" t="s">
        <v>443</v>
      </c>
      <c r="J14" s="10" t="s">
        <v>809</v>
      </c>
    </row>
    <row r="15" spans="1:10" x14ac:dyDescent="0.3">
      <c r="A15" s="10" t="s">
        <v>653</v>
      </c>
      <c r="B15" s="10" t="s">
        <v>853</v>
      </c>
      <c r="C15" s="10" t="s">
        <v>854</v>
      </c>
      <c r="D15" s="10" t="s">
        <v>855</v>
      </c>
      <c r="E15" s="10" t="s">
        <v>856</v>
      </c>
      <c r="F15" s="10" t="s">
        <v>857</v>
      </c>
      <c r="G15" s="10" t="s">
        <v>824</v>
      </c>
      <c r="H15" s="10" t="s">
        <v>858</v>
      </c>
      <c r="I15" s="10" t="s">
        <v>859</v>
      </c>
      <c r="J15" s="10" t="s">
        <v>517</v>
      </c>
    </row>
    <row r="16" spans="1:10" x14ac:dyDescent="0.3">
      <c r="A16" s="10" t="s">
        <v>660</v>
      </c>
      <c r="B16" s="10" t="s">
        <v>860</v>
      </c>
      <c r="C16" s="10" t="s">
        <v>861</v>
      </c>
      <c r="D16" s="10" t="s">
        <v>862</v>
      </c>
      <c r="E16" s="10" t="s">
        <v>863</v>
      </c>
      <c r="F16" s="10" t="s">
        <v>864</v>
      </c>
      <c r="G16" s="10" t="s">
        <v>865</v>
      </c>
      <c r="H16" s="10" t="s">
        <v>866</v>
      </c>
      <c r="I16" s="10" t="s">
        <v>443</v>
      </c>
      <c r="J16" s="10" t="s">
        <v>517</v>
      </c>
    </row>
    <row r="17" spans="1:10" ht="26.4" x14ac:dyDescent="0.3">
      <c r="A17" s="10" t="s">
        <v>867</v>
      </c>
      <c r="B17" s="10" t="s">
        <v>868</v>
      </c>
      <c r="C17" s="10" t="s">
        <v>869</v>
      </c>
      <c r="D17" s="10" t="s">
        <v>870</v>
      </c>
      <c r="E17" s="10" t="s">
        <v>871</v>
      </c>
      <c r="F17" s="10" t="s">
        <v>872</v>
      </c>
      <c r="G17" s="10" t="s">
        <v>873</v>
      </c>
      <c r="H17" s="10" t="s">
        <v>874</v>
      </c>
      <c r="I17" s="10" t="s">
        <v>859</v>
      </c>
      <c r="J17" s="10" t="s">
        <v>517</v>
      </c>
    </row>
    <row r="18" spans="1:10" x14ac:dyDescent="0.3">
      <c r="A18" s="10" t="s">
        <v>875</v>
      </c>
      <c r="B18" s="10" t="s">
        <v>876</v>
      </c>
      <c r="C18" s="10" t="s">
        <v>877</v>
      </c>
      <c r="D18" s="10" t="s">
        <v>878</v>
      </c>
      <c r="E18" s="10" t="s">
        <v>781</v>
      </c>
      <c r="F18" s="10" t="s">
        <v>879</v>
      </c>
      <c r="G18" s="10" t="s">
        <v>824</v>
      </c>
      <c r="H18" s="10" t="s">
        <v>880</v>
      </c>
      <c r="I18" s="10" t="s">
        <v>443</v>
      </c>
      <c r="J18" s="10" t="s">
        <v>517</v>
      </c>
    </row>
    <row r="19" spans="1:10" x14ac:dyDescent="0.3">
      <c r="A19" s="10" t="s">
        <v>881</v>
      </c>
      <c r="B19" s="10" t="s">
        <v>882</v>
      </c>
      <c r="C19" s="10" t="s">
        <v>883</v>
      </c>
      <c r="D19" s="10" t="s">
        <v>884</v>
      </c>
      <c r="E19" s="10" t="s">
        <v>822</v>
      </c>
      <c r="F19" s="10" t="s">
        <v>885</v>
      </c>
      <c r="G19" s="10" t="s">
        <v>800</v>
      </c>
      <c r="H19" s="10" t="s">
        <v>886</v>
      </c>
      <c r="I19" s="10" t="s">
        <v>785</v>
      </c>
      <c r="J19" s="10" t="s">
        <v>539</v>
      </c>
    </row>
    <row r="20" spans="1:10" x14ac:dyDescent="0.3">
      <c r="A20" s="10" t="s">
        <v>887</v>
      </c>
      <c r="B20" s="10" t="s">
        <v>888</v>
      </c>
      <c r="C20" s="10" t="s">
        <v>889</v>
      </c>
      <c r="D20" s="10" t="s">
        <v>890</v>
      </c>
      <c r="E20" s="10" t="s">
        <v>891</v>
      </c>
      <c r="F20" s="10" t="s">
        <v>892</v>
      </c>
      <c r="G20" s="10" t="s">
        <v>893</v>
      </c>
      <c r="H20" s="10" t="s">
        <v>894</v>
      </c>
      <c r="I20" s="10" t="s">
        <v>443</v>
      </c>
      <c r="J20" s="10" t="s">
        <v>551</v>
      </c>
    </row>
    <row r="21" spans="1:10" ht="26.4" x14ac:dyDescent="0.3">
      <c r="A21" s="10" t="s">
        <v>895</v>
      </c>
      <c r="B21" s="10" t="s">
        <v>896</v>
      </c>
      <c r="C21" s="10" t="s">
        <v>897</v>
      </c>
      <c r="D21" s="10" t="s">
        <v>645</v>
      </c>
      <c r="E21" s="10" t="s">
        <v>830</v>
      </c>
      <c r="F21" s="10" t="s">
        <v>898</v>
      </c>
      <c r="G21" s="10" t="s">
        <v>899</v>
      </c>
      <c r="H21" s="10" t="s">
        <v>900</v>
      </c>
      <c r="I21" s="10" t="s">
        <v>785</v>
      </c>
      <c r="J21" s="10" t="s">
        <v>517</v>
      </c>
    </row>
    <row r="22" spans="1:10" ht="26.4" x14ac:dyDescent="0.3">
      <c r="A22" s="10" t="s">
        <v>901</v>
      </c>
      <c r="B22" s="10" t="s">
        <v>902</v>
      </c>
      <c r="C22" s="10" t="s">
        <v>903</v>
      </c>
      <c r="D22" s="10" t="s">
        <v>904</v>
      </c>
      <c r="E22" s="10" t="s">
        <v>905</v>
      </c>
      <c r="F22" s="10" t="s">
        <v>906</v>
      </c>
      <c r="G22" s="10" t="s">
        <v>907</v>
      </c>
      <c r="H22" s="10" t="s">
        <v>908</v>
      </c>
      <c r="I22" s="10" t="s">
        <v>443</v>
      </c>
      <c r="J22" s="10" t="s">
        <v>809</v>
      </c>
    </row>
    <row r="23" spans="1:10" ht="26.4" x14ac:dyDescent="0.3">
      <c r="A23" s="10" t="s">
        <v>909</v>
      </c>
      <c r="B23" s="10" t="s">
        <v>910</v>
      </c>
      <c r="C23" s="10" t="s">
        <v>911</v>
      </c>
      <c r="D23" s="10" t="s">
        <v>912</v>
      </c>
      <c r="E23" s="10" t="s">
        <v>913</v>
      </c>
      <c r="F23" s="10" t="s">
        <v>914</v>
      </c>
      <c r="G23" s="10" t="s">
        <v>783</v>
      </c>
      <c r="H23" s="10" t="s">
        <v>915</v>
      </c>
      <c r="I23" s="10" t="s">
        <v>785</v>
      </c>
      <c r="J23" s="10" t="s">
        <v>506</v>
      </c>
    </row>
    <row r="24" spans="1:10" ht="26.4" x14ac:dyDescent="0.3">
      <c r="A24" s="10" t="s">
        <v>916</v>
      </c>
      <c r="B24" s="10" t="s">
        <v>917</v>
      </c>
      <c r="C24" s="10" t="s">
        <v>918</v>
      </c>
      <c r="D24" s="10" t="s">
        <v>919</v>
      </c>
      <c r="E24" s="10" t="s">
        <v>822</v>
      </c>
      <c r="F24" s="10" t="s">
        <v>920</v>
      </c>
      <c r="G24" s="10" t="s">
        <v>921</v>
      </c>
      <c r="H24" s="10" t="s">
        <v>922</v>
      </c>
      <c r="I24" s="10" t="s">
        <v>443</v>
      </c>
      <c r="J24" s="10" t="s">
        <v>517</v>
      </c>
    </row>
    <row r="25" spans="1:10" ht="26.4" x14ac:dyDescent="0.3">
      <c r="A25" s="10" t="s">
        <v>923</v>
      </c>
      <c r="B25" s="10" t="s">
        <v>924</v>
      </c>
      <c r="C25" s="10" t="s">
        <v>925</v>
      </c>
      <c r="D25" s="10" t="s">
        <v>926</v>
      </c>
      <c r="E25" s="10" t="s">
        <v>927</v>
      </c>
      <c r="F25" s="10" t="s">
        <v>928</v>
      </c>
      <c r="G25" s="10" t="s">
        <v>342</v>
      </c>
      <c r="H25" s="10" t="s">
        <v>929</v>
      </c>
      <c r="I25" s="10" t="s">
        <v>443</v>
      </c>
      <c r="J25" s="10" t="s">
        <v>809</v>
      </c>
    </row>
    <row r="26" spans="1:10" ht="26.4" x14ac:dyDescent="0.3">
      <c r="A26" s="10" t="s">
        <v>930</v>
      </c>
      <c r="B26" s="10" t="s">
        <v>931</v>
      </c>
      <c r="C26" s="10" t="s">
        <v>932</v>
      </c>
      <c r="D26" s="10" t="s">
        <v>933</v>
      </c>
      <c r="E26" s="10" t="s">
        <v>934</v>
      </c>
      <c r="F26" s="10" t="s">
        <v>845</v>
      </c>
      <c r="G26" s="10" t="s">
        <v>935</v>
      </c>
      <c r="H26" s="10" t="s">
        <v>936</v>
      </c>
      <c r="I26" s="10" t="s">
        <v>859</v>
      </c>
      <c r="J26" s="10" t="s">
        <v>517</v>
      </c>
    </row>
    <row r="27" spans="1:10" ht="26.4" x14ac:dyDescent="0.3">
      <c r="A27" s="10" t="s">
        <v>937</v>
      </c>
      <c r="B27" s="10" t="s">
        <v>938</v>
      </c>
      <c r="C27" s="10" t="s">
        <v>939</v>
      </c>
      <c r="D27" s="10" t="s">
        <v>940</v>
      </c>
      <c r="E27" s="10" t="s">
        <v>871</v>
      </c>
      <c r="F27" s="10" t="s">
        <v>941</v>
      </c>
      <c r="G27" s="10" t="s">
        <v>942</v>
      </c>
      <c r="H27" s="10" t="s">
        <v>943</v>
      </c>
      <c r="I27" s="10" t="s">
        <v>443</v>
      </c>
      <c r="J27" s="10" t="s">
        <v>264</v>
      </c>
    </row>
    <row r="28" spans="1:10" x14ac:dyDescent="0.3">
      <c r="A28" s="10" t="s">
        <v>944</v>
      </c>
      <c r="B28" s="10" t="s">
        <v>945</v>
      </c>
      <c r="C28" s="10" t="s">
        <v>946</v>
      </c>
      <c r="D28" s="10" t="s">
        <v>650</v>
      </c>
      <c r="E28" s="10" t="s">
        <v>947</v>
      </c>
      <c r="F28" s="10" t="s">
        <v>948</v>
      </c>
      <c r="G28" s="10" t="s">
        <v>949</v>
      </c>
      <c r="H28" s="10" t="s">
        <v>950</v>
      </c>
      <c r="I28" s="10" t="s">
        <v>443</v>
      </c>
      <c r="J28" s="10" t="s">
        <v>528</v>
      </c>
    </row>
  </sheetData>
  <autoFilter ref="G1:G28" xr:uid="{00000000-0001-0000-0700-000000000000}"/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C55A11"/>
  </sheetPr>
  <dimension ref="A1:C31"/>
  <sheetViews>
    <sheetView zoomScaleNormal="100" workbookViewId="0">
      <selection activeCell="A13" sqref="A13"/>
    </sheetView>
  </sheetViews>
  <sheetFormatPr defaultColWidth="8.77734375" defaultRowHeight="14.4" x14ac:dyDescent="0.3"/>
  <cols>
    <col min="1" max="1" width="48" style="41" customWidth="1"/>
    <col min="2" max="2" width="22.109375" style="41" customWidth="1"/>
    <col min="3" max="3" width="69.88671875" customWidth="1"/>
  </cols>
  <sheetData>
    <row r="1" spans="1:3" ht="17.399999999999999" x14ac:dyDescent="0.3">
      <c r="A1" s="61" t="s">
        <v>951</v>
      </c>
    </row>
    <row r="2" spans="1:3" x14ac:dyDescent="0.3">
      <c r="A2" s="72" t="s">
        <v>952</v>
      </c>
    </row>
    <row r="3" spans="1:3" x14ac:dyDescent="0.3">
      <c r="A3" s="66" t="s">
        <v>953</v>
      </c>
      <c r="B3" s="66" t="s">
        <v>28</v>
      </c>
      <c r="C3" s="6" t="s">
        <v>954</v>
      </c>
    </row>
    <row r="4" spans="1:3" x14ac:dyDescent="0.3">
      <c r="A4" s="22" t="s">
        <v>955</v>
      </c>
      <c r="B4" s="67">
        <v>46293</v>
      </c>
      <c r="C4" s="7" t="s">
        <v>956</v>
      </c>
    </row>
    <row r="5" spans="1:3" x14ac:dyDescent="0.3">
      <c r="A5" s="22" t="s">
        <v>957</v>
      </c>
      <c r="B5" s="68">
        <v>1.0000000000000001E+25</v>
      </c>
      <c r="C5" s="7" t="s">
        <v>958</v>
      </c>
    </row>
    <row r="6" spans="1:3" x14ac:dyDescent="0.3">
      <c r="A6" s="22" t="s">
        <v>959</v>
      </c>
      <c r="B6" s="69">
        <v>0.4</v>
      </c>
      <c r="C6" s="7" t="s">
        <v>960</v>
      </c>
    </row>
    <row r="7" spans="1:3" x14ac:dyDescent="0.3">
      <c r="A7" s="22" t="s">
        <v>961</v>
      </c>
      <c r="B7" s="69">
        <v>0.3</v>
      </c>
      <c r="C7" s="7" t="s">
        <v>960</v>
      </c>
    </row>
    <row r="8" spans="1:3" x14ac:dyDescent="0.3">
      <c r="A8" s="22" t="s">
        <v>962</v>
      </c>
      <c r="B8" s="69">
        <v>0.2</v>
      </c>
      <c r="C8" s="7" t="s">
        <v>960</v>
      </c>
    </row>
    <row r="9" spans="1:3" x14ac:dyDescent="0.3">
      <c r="A9" s="22" t="s">
        <v>963</v>
      </c>
      <c r="B9" s="69">
        <v>0.1</v>
      </c>
      <c r="C9" s="7" t="s">
        <v>960</v>
      </c>
    </row>
    <row r="10" spans="1:3" x14ac:dyDescent="0.3">
      <c r="A10" s="22" t="s">
        <v>964</v>
      </c>
      <c r="B10" s="70">
        <v>4</v>
      </c>
      <c r="C10" s="7" t="s">
        <v>960</v>
      </c>
    </row>
    <row r="11" spans="1:3" x14ac:dyDescent="0.3">
      <c r="A11" s="22" t="s">
        <v>965</v>
      </c>
      <c r="B11" s="70">
        <v>3</v>
      </c>
      <c r="C11" s="7" t="s">
        <v>960</v>
      </c>
    </row>
    <row r="12" spans="1:3" x14ac:dyDescent="0.3">
      <c r="A12" s="22" t="s">
        <v>966</v>
      </c>
      <c r="B12" s="71">
        <v>0.85</v>
      </c>
      <c r="C12" s="7" t="s">
        <v>960</v>
      </c>
    </row>
    <row r="13" spans="1:3" x14ac:dyDescent="0.3">
      <c r="A13" s="22" t="s">
        <v>967</v>
      </c>
      <c r="B13" s="70">
        <v>0.5</v>
      </c>
      <c r="C13" s="7" t="s">
        <v>968</v>
      </c>
    </row>
    <row r="14" spans="1:3" x14ac:dyDescent="0.3">
      <c r="A14" s="22" t="s">
        <v>969</v>
      </c>
      <c r="B14" s="70">
        <f>SUM(B6:B9)</f>
        <v>0.99999999999999989</v>
      </c>
      <c r="C14" s="7" t="str">
        <f>IF(ROUND(B14,2)=1,"OK","Weights must sum to 1")</f>
        <v>OK</v>
      </c>
    </row>
    <row r="15" spans="1:3" x14ac:dyDescent="0.3">
      <c r="A15" s="73" t="s">
        <v>970</v>
      </c>
    </row>
    <row r="16" spans="1:3" x14ac:dyDescent="0.3">
      <c r="A16" s="66" t="s">
        <v>61</v>
      </c>
      <c r="B16" s="66" t="s">
        <v>971</v>
      </c>
      <c r="C16" s="6" t="s">
        <v>954</v>
      </c>
    </row>
    <row r="17" spans="1:3" x14ac:dyDescent="0.3">
      <c r="A17" s="22" t="s">
        <v>705</v>
      </c>
      <c r="B17" s="60">
        <v>0</v>
      </c>
      <c r="C17" s="7" t="s">
        <v>972</v>
      </c>
    </row>
    <row r="18" spans="1:3" x14ac:dyDescent="0.3">
      <c r="A18" s="22" t="s">
        <v>747</v>
      </c>
      <c r="B18" s="60">
        <v>1</v>
      </c>
      <c r="C18" s="7"/>
    </row>
    <row r="19" spans="1:3" x14ac:dyDescent="0.3">
      <c r="A19" s="22" t="s">
        <v>742</v>
      </c>
      <c r="B19" s="60">
        <v>1</v>
      </c>
      <c r="C19" s="7"/>
    </row>
    <row r="20" spans="1:3" x14ac:dyDescent="0.3">
      <c r="A20" s="22" t="s">
        <v>753</v>
      </c>
      <c r="B20" s="60">
        <v>1</v>
      </c>
      <c r="C20" s="7"/>
    </row>
    <row r="21" spans="1:3" x14ac:dyDescent="0.3">
      <c r="A21" s="22" t="s">
        <v>342</v>
      </c>
      <c r="B21" s="60">
        <v>2</v>
      </c>
      <c r="C21" s="7"/>
    </row>
    <row r="22" spans="1:3" x14ac:dyDescent="0.3">
      <c r="A22" s="22" t="s">
        <v>756</v>
      </c>
      <c r="B22" s="60">
        <v>2</v>
      </c>
      <c r="C22" s="7"/>
    </row>
    <row r="23" spans="1:3" x14ac:dyDescent="0.3">
      <c r="A23" s="22" t="s">
        <v>759</v>
      </c>
      <c r="B23" s="60">
        <v>3</v>
      </c>
      <c r="C23" s="7"/>
    </row>
    <row r="24" spans="1:3" x14ac:dyDescent="0.3">
      <c r="A24" s="22" t="s">
        <v>763</v>
      </c>
      <c r="B24" s="60">
        <v>3</v>
      </c>
      <c r="C24" s="7" t="s">
        <v>973</v>
      </c>
    </row>
    <row r="26" spans="1:3" x14ac:dyDescent="0.3">
      <c r="A26" s="73" t="s">
        <v>974</v>
      </c>
    </row>
    <row r="27" spans="1:3" x14ac:dyDescent="0.3">
      <c r="A27" s="66" t="s">
        <v>971</v>
      </c>
      <c r="B27" s="66" t="s">
        <v>67</v>
      </c>
      <c r="C27" s="6" t="s">
        <v>975</v>
      </c>
    </row>
    <row r="28" spans="1:3" x14ac:dyDescent="0.3">
      <c r="A28" s="22">
        <v>0</v>
      </c>
      <c r="B28" s="22" t="s">
        <v>976</v>
      </c>
      <c r="C28" s="7" t="s">
        <v>977</v>
      </c>
    </row>
    <row r="29" spans="1:3" x14ac:dyDescent="0.3">
      <c r="A29" s="22">
        <v>1</v>
      </c>
      <c r="B29" s="22" t="s">
        <v>978</v>
      </c>
      <c r="C29" s="7" t="s">
        <v>979</v>
      </c>
    </row>
    <row r="30" spans="1:3" x14ac:dyDescent="0.3">
      <c r="A30" s="22">
        <v>2</v>
      </c>
      <c r="B30" s="22" t="s">
        <v>980</v>
      </c>
      <c r="C30" s="7" t="s">
        <v>981</v>
      </c>
    </row>
    <row r="31" spans="1:3" x14ac:dyDescent="0.3">
      <c r="A31" s="22">
        <v>3</v>
      </c>
      <c r="B31" s="22" t="s">
        <v>982</v>
      </c>
      <c r="C31" s="7" t="s">
        <v>983</v>
      </c>
    </row>
  </sheetData>
  <pageMargins left="0.75" right="0.75" top="1" bottom="1" header="0.511811023622047" footer="0.511811023622047"/>
  <pageSetup paperSize="9" orientation="portrait" horizontalDpi="300" verticalDpi="300"/>
  <ignoredErrors>
    <ignoredError sqref="B14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9" tint="-0.499984740745262"/>
  </sheetPr>
  <dimension ref="A1:AA34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10" sqref="C10"/>
    </sheetView>
  </sheetViews>
  <sheetFormatPr defaultColWidth="8.77734375" defaultRowHeight="14.4" x14ac:dyDescent="0.3"/>
  <cols>
    <col min="1" max="1" width="9" customWidth="1"/>
    <col min="2" max="2" width="32" customWidth="1"/>
    <col min="3" max="3" width="44" customWidth="1"/>
    <col min="4" max="4" width="18" customWidth="1"/>
    <col min="5" max="5" width="14" customWidth="1"/>
    <col min="6" max="6" width="9.88671875" customWidth="1"/>
    <col min="7" max="7" width="14" customWidth="1"/>
    <col min="8" max="8" width="18" customWidth="1"/>
    <col min="9" max="9" width="11" customWidth="1"/>
    <col min="10" max="11" width="8.88671875" customWidth="1"/>
    <col min="12" max="12" width="14.5546875" customWidth="1"/>
    <col min="13" max="13" width="22.109375" customWidth="1"/>
    <col min="14" max="15" width="11.6640625" customWidth="1"/>
    <col min="16" max="17" width="9.88671875" customWidth="1"/>
    <col min="18" max="18" width="13.44140625" customWidth="1"/>
    <col min="19" max="19" width="9.6640625" customWidth="1"/>
    <col min="20" max="20" width="11" customWidth="1"/>
    <col min="21" max="21" width="9" customWidth="1"/>
    <col min="22" max="22" width="9.88671875" customWidth="1"/>
    <col min="23" max="23" width="15.77734375" customWidth="1"/>
    <col min="24" max="24" width="9" customWidth="1"/>
    <col min="25" max="25" width="11" customWidth="1"/>
    <col min="26" max="26" width="16" customWidth="1"/>
    <col min="27" max="27" width="13.33203125" customWidth="1"/>
  </cols>
  <sheetData>
    <row r="1" spans="1:27" ht="17.399999999999999" x14ac:dyDescent="0.3">
      <c r="A1" s="38" t="s">
        <v>1715</v>
      </c>
    </row>
    <row r="2" spans="1:27" x14ac:dyDescent="0.3">
      <c r="A2" s="5" t="s">
        <v>984</v>
      </c>
    </row>
    <row r="4" spans="1:27" s="79" customFormat="1" ht="66" x14ac:dyDescent="0.3">
      <c r="A4" s="78" t="s">
        <v>985</v>
      </c>
      <c r="B4" s="78" t="s">
        <v>986</v>
      </c>
      <c r="C4" s="78" t="s">
        <v>975</v>
      </c>
      <c r="D4" s="78" t="s">
        <v>73</v>
      </c>
      <c r="E4" s="78" t="s">
        <v>987</v>
      </c>
      <c r="F4" s="78" t="s">
        <v>988</v>
      </c>
      <c r="G4" s="78" t="s">
        <v>989</v>
      </c>
      <c r="H4" s="78" t="s">
        <v>990</v>
      </c>
      <c r="I4" s="78" t="s">
        <v>991</v>
      </c>
      <c r="J4" s="78" t="s">
        <v>992</v>
      </c>
      <c r="K4" s="78" t="s">
        <v>993</v>
      </c>
      <c r="L4" s="78" t="s">
        <v>994</v>
      </c>
      <c r="M4" s="78" t="s">
        <v>608</v>
      </c>
      <c r="N4" s="78" t="s">
        <v>995</v>
      </c>
      <c r="O4" s="78" t="s">
        <v>996</v>
      </c>
      <c r="P4" s="78" t="s">
        <v>997</v>
      </c>
      <c r="Q4" s="78" t="s">
        <v>998</v>
      </c>
      <c r="R4" s="78" t="s">
        <v>999</v>
      </c>
      <c r="S4" s="78" t="s">
        <v>1000</v>
      </c>
      <c r="T4" s="78" t="s">
        <v>636</v>
      </c>
      <c r="U4" s="78" t="s">
        <v>1001</v>
      </c>
      <c r="V4" s="78" t="s">
        <v>1002</v>
      </c>
      <c r="W4" s="78" t="s">
        <v>1003</v>
      </c>
      <c r="X4" s="78" t="s">
        <v>1004</v>
      </c>
      <c r="Y4" s="78" t="s">
        <v>1005</v>
      </c>
      <c r="Z4" s="78" t="s">
        <v>1006</v>
      </c>
      <c r="AA4" s="78" t="s">
        <v>1007</v>
      </c>
    </row>
    <row r="5" spans="1:27" s="41" customFormat="1" x14ac:dyDescent="0.3">
      <c r="A5" s="74" t="s">
        <v>1008</v>
      </c>
      <c r="B5" s="74" t="s">
        <v>1009</v>
      </c>
      <c r="C5" s="74" t="s">
        <v>1010</v>
      </c>
      <c r="D5" s="74" t="s">
        <v>76</v>
      </c>
      <c r="E5" s="74" t="s">
        <v>1011</v>
      </c>
      <c r="F5" s="74" t="s">
        <v>1012</v>
      </c>
      <c r="G5" s="74" t="s">
        <v>402</v>
      </c>
      <c r="H5" s="74" t="s">
        <v>1013</v>
      </c>
      <c r="I5" s="74" t="s">
        <v>1014</v>
      </c>
      <c r="J5" s="74" t="s">
        <v>1015</v>
      </c>
      <c r="K5" s="74" t="s">
        <v>1016</v>
      </c>
      <c r="L5" s="74" t="s">
        <v>1016</v>
      </c>
      <c r="M5" s="74" t="s">
        <v>1017</v>
      </c>
      <c r="N5" s="74" t="s">
        <v>1015</v>
      </c>
      <c r="O5" s="74" t="s">
        <v>1016</v>
      </c>
      <c r="P5" s="74" t="s">
        <v>1016</v>
      </c>
      <c r="Q5" s="74" t="s">
        <v>1016</v>
      </c>
      <c r="R5" s="74" t="s">
        <v>1016</v>
      </c>
      <c r="S5" s="74" t="s">
        <v>1016</v>
      </c>
      <c r="T5" s="86"/>
      <c r="U5" s="74">
        <v>4</v>
      </c>
      <c r="V5" s="74">
        <v>4</v>
      </c>
      <c r="W5" s="74">
        <v>4</v>
      </c>
      <c r="X5" s="74">
        <v>3</v>
      </c>
      <c r="Y5" s="74" t="s">
        <v>1018</v>
      </c>
      <c r="Z5" s="74" t="s">
        <v>1019</v>
      </c>
      <c r="AA5" s="77">
        <v>0.95</v>
      </c>
    </row>
    <row r="6" spans="1:27" s="41" customFormat="1" x14ac:dyDescent="0.3">
      <c r="A6" s="74" t="s">
        <v>1020</v>
      </c>
      <c r="B6" s="74" t="s">
        <v>1021</v>
      </c>
      <c r="C6" s="74" t="s">
        <v>1022</v>
      </c>
      <c r="D6" s="74" t="s">
        <v>74</v>
      </c>
      <c r="E6" s="74" t="s">
        <v>1023</v>
      </c>
      <c r="F6" s="74" t="s">
        <v>1024</v>
      </c>
      <c r="G6" s="74" t="s">
        <v>1025</v>
      </c>
      <c r="H6" s="74" t="s">
        <v>1026</v>
      </c>
      <c r="I6" s="74" t="s">
        <v>1014</v>
      </c>
      <c r="J6" s="74" t="s">
        <v>1015</v>
      </c>
      <c r="K6" s="74" t="s">
        <v>1016</v>
      </c>
      <c r="L6" s="74" t="s">
        <v>1016</v>
      </c>
      <c r="M6" s="74" t="s">
        <v>1027</v>
      </c>
      <c r="N6" s="74" t="s">
        <v>1015</v>
      </c>
      <c r="O6" s="74" t="s">
        <v>1016</v>
      </c>
      <c r="P6" s="74" t="s">
        <v>1016</v>
      </c>
      <c r="Q6" s="74" t="s">
        <v>1016</v>
      </c>
      <c r="R6" s="74" t="s">
        <v>1016</v>
      </c>
      <c r="S6" s="74" t="s">
        <v>1016</v>
      </c>
      <c r="T6" s="86"/>
      <c r="U6" s="74">
        <v>5</v>
      </c>
      <c r="V6" s="74">
        <v>5</v>
      </c>
      <c r="W6" s="74">
        <v>5</v>
      </c>
      <c r="X6" s="74">
        <v>4</v>
      </c>
      <c r="Y6" s="74" t="s">
        <v>1018</v>
      </c>
      <c r="Z6" s="74" t="s">
        <v>1019</v>
      </c>
      <c r="AA6" s="77">
        <v>0.98</v>
      </c>
    </row>
    <row r="7" spans="1:27" s="41" customFormat="1" ht="26.4" x14ac:dyDescent="0.3">
      <c r="A7" s="74" t="s">
        <v>1028</v>
      </c>
      <c r="B7" s="74" t="s">
        <v>1029</v>
      </c>
      <c r="C7" s="74" t="s">
        <v>1030</v>
      </c>
      <c r="D7" s="74" t="s">
        <v>74</v>
      </c>
      <c r="E7" s="74" t="s">
        <v>1031</v>
      </c>
      <c r="F7" s="74" t="s">
        <v>1012</v>
      </c>
      <c r="G7" s="74" t="s">
        <v>1032</v>
      </c>
      <c r="H7" s="74" t="s">
        <v>1033</v>
      </c>
      <c r="I7" s="74" t="s">
        <v>1014</v>
      </c>
      <c r="J7" s="74" t="s">
        <v>1015</v>
      </c>
      <c r="K7" s="74" t="s">
        <v>1016</v>
      </c>
      <c r="L7" s="74" t="s">
        <v>1016</v>
      </c>
      <c r="M7" s="74" t="s">
        <v>1034</v>
      </c>
      <c r="N7" s="74" t="s">
        <v>1016</v>
      </c>
      <c r="O7" s="74" t="s">
        <v>1016</v>
      </c>
      <c r="P7" s="74" t="s">
        <v>1015</v>
      </c>
      <c r="Q7" s="74" t="s">
        <v>1015</v>
      </c>
      <c r="R7" s="74" t="s">
        <v>1016</v>
      </c>
      <c r="S7" s="74" t="s">
        <v>1016</v>
      </c>
      <c r="T7" s="86"/>
      <c r="U7" s="74">
        <v>3</v>
      </c>
      <c r="V7" s="74">
        <v>4</v>
      </c>
      <c r="W7" s="74">
        <v>5</v>
      </c>
      <c r="X7" s="74">
        <v>3</v>
      </c>
      <c r="Y7" s="74" t="s">
        <v>1018</v>
      </c>
      <c r="Z7" s="74" t="s">
        <v>1019</v>
      </c>
      <c r="AA7" s="77">
        <v>0.92</v>
      </c>
    </row>
    <row r="8" spans="1:27" s="41" customFormat="1" x14ac:dyDescent="0.3">
      <c r="A8" s="74" t="s">
        <v>1035</v>
      </c>
      <c r="B8" s="74" t="s">
        <v>1036</v>
      </c>
      <c r="C8" s="74" t="s">
        <v>1037</v>
      </c>
      <c r="D8" s="74" t="s">
        <v>74</v>
      </c>
      <c r="E8" s="74" t="s">
        <v>1038</v>
      </c>
      <c r="F8" s="74" t="s">
        <v>1024</v>
      </c>
      <c r="G8" s="74" t="s">
        <v>1025</v>
      </c>
      <c r="H8" s="74" t="s">
        <v>1039</v>
      </c>
      <c r="I8" s="74" t="s">
        <v>1014</v>
      </c>
      <c r="J8" s="74" t="s">
        <v>1015</v>
      </c>
      <c r="K8" s="74" t="s">
        <v>1016</v>
      </c>
      <c r="L8" s="74" t="s">
        <v>1016</v>
      </c>
      <c r="M8" s="74" t="s">
        <v>1034</v>
      </c>
      <c r="N8" s="74" t="s">
        <v>1016</v>
      </c>
      <c r="O8" s="74" t="s">
        <v>1016</v>
      </c>
      <c r="P8" s="74" t="s">
        <v>1016</v>
      </c>
      <c r="Q8" s="74" t="s">
        <v>1016</v>
      </c>
      <c r="R8" s="74" t="s">
        <v>1016</v>
      </c>
      <c r="S8" s="74" t="s">
        <v>1016</v>
      </c>
      <c r="T8" s="86"/>
      <c r="U8" s="74">
        <v>3</v>
      </c>
      <c r="V8" s="74">
        <v>4</v>
      </c>
      <c r="W8" s="74">
        <v>5</v>
      </c>
      <c r="X8" s="74">
        <v>4</v>
      </c>
      <c r="Y8" s="74" t="s">
        <v>1018</v>
      </c>
      <c r="Z8" s="74" t="s">
        <v>1019</v>
      </c>
      <c r="AA8" s="77">
        <v>0.97</v>
      </c>
    </row>
    <row r="9" spans="1:27" s="41" customFormat="1" ht="26.4" x14ac:dyDescent="0.3">
      <c r="A9" s="74" t="s">
        <v>1040</v>
      </c>
      <c r="B9" s="74" t="s">
        <v>1041</v>
      </c>
      <c r="C9" s="74" t="s">
        <v>1042</v>
      </c>
      <c r="D9" s="74" t="s">
        <v>79</v>
      </c>
      <c r="E9" s="74" t="s">
        <v>1043</v>
      </c>
      <c r="F9" s="74" t="s">
        <v>1012</v>
      </c>
      <c r="G9" s="74" t="s">
        <v>402</v>
      </c>
      <c r="H9" s="74" t="s">
        <v>1044</v>
      </c>
      <c r="I9" s="74" t="s">
        <v>1014</v>
      </c>
      <c r="J9" s="74" t="s">
        <v>1015</v>
      </c>
      <c r="K9" s="74" t="s">
        <v>1016</v>
      </c>
      <c r="L9" s="74" t="s">
        <v>1016</v>
      </c>
      <c r="M9" s="74" t="s">
        <v>1034</v>
      </c>
      <c r="N9" s="74" t="s">
        <v>1016</v>
      </c>
      <c r="O9" s="74" t="s">
        <v>1016</v>
      </c>
      <c r="P9" s="74" t="s">
        <v>1016</v>
      </c>
      <c r="Q9" s="74" t="s">
        <v>1015</v>
      </c>
      <c r="R9" s="74" t="s">
        <v>1016</v>
      </c>
      <c r="S9" s="74" t="s">
        <v>1016</v>
      </c>
      <c r="T9" s="86"/>
      <c r="U9" s="74">
        <v>2</v>
      </c>
      <c r="V9" s="74">
        <v>2</v>
      </c>
      <c r="W9" s="74">
        <v>3</v>
      </c>
      <c r="X9" s="74">
        <v>2</v>
      </c>
      <c r="Y9" s="74" t="s">
        <v>1045</v>
      </c>
      <c r="Z9" s="74" t="s">
        <v>1046</v>
      </c>
      <c r="AA9" s="77">
        <v>0.9</v>
      </c>
    </row>
    <row r="10" spans="1:27" s="41" customFormat="1" ht="26.4" x14ac:dyDescent="0.3">
      <c r="A10" s="74" t="s">
        <v>1047</v>
      </c>
      <c r="B10" s="74" t="s">
        <v>1048</v>
      </c>
      <c r="C10" s="74" t="s">
        <v>1049</v>
      </c>
      <c r="D10" s="74" t="s">
        <v>76</v>
      </c>
      <c r="E10" s="74" t="s">
        <v>1011</v>
      </c>
      <c r="F10" s="74" t="s">
        <v>1012</v>
      </c>
      <c r="G10" s="74" t="s">
        <v>402</v>
      </c>
      <c r="H10" s="74" t="s">
        <v>1050</v>
      </c>
      <c r="I10" s="74" t="s">
        <v>1014</v>
      </c>
      <c r="J10" s="74" t="s">
        <v>1015</v>
      </c>
      <c r="K10" s="74" t="s">
        <v>1016</v>
      </c>
      <c r="L10" s="74" t="s">
        <v>1016</v>
      </c>
      <c r="M10" s="74" t="s">
        <v>1017</v>
      </c>
      <c r="N10" s="74" t="s">
        <v>1015</v>
      </c>
      <c r="O10" s="74" t="s">
        <v>1016</v>
      </c>
      <c r="P10" s="74" t="s">
        <v>1016</v>
      </c>
      <c r="Q10" s="74" t="s">
        <v>1016</v>
      </c>
      <c r="R10" s="74" t="s">
        <v>1016</v>
      </c>
      <c r="S10" s="74" t="s">
        <v>1016</v>
      </c>
      <c r="T10" s="86"/>
      <c r="U10" s="74">
        <v>4</v>
      </c>
      <c r="V10" s="74">
        <v>4</v>
      </c>
      <c r="W10" s="74">
        <v>3</v>
      </c>
      <c r="X10" s="74">
        <v>2</v>
      </c>
      <c r="Y10" s="74" t="s">
        <v>1018</v>
      </c>
      <c r="Z10" s="74" t="s">
        <v>1019</v>
      </c>
      <c r="AA10" s="77">
        <v>0.88</v>
      </c>
    </row>
    <row r="11" spans="1:27" s="41" customFormat="1" ht="26.4" x14ac:dyDescent="0.3">
      <c r="A11" s="74" t="s">
        <v>1051</v>
      </c>
      <c r="B11" s="74" t="s">
        <v>1052</v>
      </c>
      <c r="C11" s="74" t="s">
        <v>1053</v>
      </c>
      <c r="D11" s="74" t="s">
        <v>75</v>
      </c>
      <c r="E11" s="74" t="s">
        <v>1054</v>
      </c>
      <c r="F11" s="74" t="s">
        <v>1024</v>
      </c>
      <c r="G11" s="74" t="s">
        <v>1025</v>
      </c>
      <c r="H11" s="74" t="s">
        <v>1055</v>
      </c>
      <c r="I11" s="74" t="s">
        <v>1014</v>
      </c>
      <c r="J11" s="74" t="s">
        <v>1015</v>
      </c>
      <c r="K11" s="74" t="s">
        <v>1016</v>
      </c>
      <c r="L11" s="74" t="s">
        <v>1016</v>
      </c>
      <c r="M11" s="74" t="s">
        <v>1027</v>
      </c>
      <c r="N11" s="74" t="s">
        <v>1015</v>
      </c>
      <c r="O11" s="74" t="s">
        <v>1016</v>
      </c>
      <c r="P11" s="74" t="s">
        <v>1016</v>
      </c>
      <c r="Q11" s="74" t="s">
        <v>1016</v>
      </c>
      <c r="R11" s="74" t="s">
        <v>1016</v>
      </c>
      <c r="S11" s="74" t="s">
        <v>1016</v>
      </c>
      <c r="T11" s="86"/>
      <c r="U11" s="74">
        <v>5</v>
      </c>
      <c r="V11" s="74">
        <v>5</v>
      </c>
      <c r="W11" s="74">
        <v>4</v>
      </c>
      <c r="X11" s="74">
        <v>4</v>
      </c>
      <c r="Y11" s="74" t="s">
        <v>1018</v>
      </c>
      <c r="Z11" s="74" t="s">
        <v>1019</v>
      </c>
      <c r="AA11" s="77">
        <v>0.96</v>
      </c>
    </row>
    <row r="12" spans="1:27" s="41" customFormat="1" x14ac:dyDescent="0.3">
      <c r="A12" s="74" t="s">
        <v>1056</v>
      </c>
      <c r="B12" s="74" t="s">
        <v>1057</v>
      </c>
      <c r="C12" s="74" t="s">
        <v>1058</v>
      </c>
      <c r="D12" s="74" t="s">
        <v>75</v>
      </c>
      <c r="E12" s="74" t="s">
        <v>1054</v>
      </c>
      <c r="F12" s="74" t="s">
        <v>1024</v>
      </c>
      <c r="G12" s="74" t="s">
        <v>1025</v>
      </c>
      <c r="H12" s="74" t="s">
        <v>1059</v>
      </c>
      <c r="I12" s="74" t="s">
        <v>1014</v>
      </c>
      <c r="J12" s="74" t="s">
        <v>1015</v>
      </c>
      <c r="K12" s="74" t="s">
        <v>1016</v>
      </c>
      <c r="L12" s="74" t="s">
        <v>1016</v>
      </c>
      <c r="M12" s="74" t="s">
        <v>1034</v>
      </c>
      <c r="N12" s="74" t="s">
        <v>1016</v>
      </c>
      <c r="O12" s="74" t="s">
        <v>1016</v>
      </c>
      <c r="P12" s="74" t="s">
        <v>1016</v>
      </c>
      <c r="Q12" s="74" t="s">
        <v>1016</v>
      </c>
      <c r="R12" s="74" t="s">
        <v>1016</v>
      </c>
      <c r="S12" s="74" t="s">
        <v>1016</v>
      </c>
      <c r="T12" s="86"/>
      <c r="U12" s="74">
        <v>3</v>
      </c>
      <c r="V12" s="74">
        <v>4</v>
      </c>
      <c r="W12" s="74">
        <v>4</v>
      </c>
      <c r="X12" s="74">
        <v>3</v>
      </c>
      <c r="Y12" s="74" t="s">
        <v>1045</v>
      </c>
      <c r="Z12" s="74" t="s">
        <v>1019</v>
      </c>
      <c r="AA12" s="77">
        <v>0.93</v>
      </c>
    </row>
    <row r="13" spans="1:27" s="41" customFormat="1" ht="26.4" x14ac:dyDescent="0.3">
      <c r="A13" s="74" t="s">
        <v>1060</v>
      </c>
      <c r="B13" s="74" t="s">
        <v>1061</v>
      </c>
      <c r="C13" s="74" t="s">
        <v>1062</v>
      </c>
      <c r="D13" s="74" t="s">
        <v>80</v>
      </c>
      <c r="E13" s="74" t="s">
        <v>1063</v>
      </c>
      <c r="F13" s="74" t="s">
        <v>1012</v>
      </c>
      <c r="G13" s="74" t="s">
        <v>402</v>
      </c>
      <c r="H13" s="74" t="s">
        <v>1064</v>
      </c>
      <c r="I13" s="74" t="s">
        <v>1014</v>
      </c>
      <c r="J13" s="74" t="s">
        <v>1015</v>
      </c>
      <c r="K13" s="74" t="s">
        <v>1015</v>
      </c>
      <c r="L13" s="74" t="s">
        <v>1016</v>
      </c>
      <c r="M13" s="74" t="s">
        <v>672</v>
      </c>
      <c r="N13" s="74" t="s">
        <v>1016</v>
      </c>
      <c r="O13" s="74" t="s">
        <v>1016</v>
      </c>
      <c r="P13" s="74" t="s">
        <v>1016</v>
      </c>
      <c r="Q13" s="74" t="s">
        <v>1016</v>
      </c>
      <c r="R13" s="74" t="s">
        <v>1015</v>
      </c>
      <c r="S13" s="74" t="s">
        <v>1016</v>
      </c>
      <c r="T13" s="86"/>
      <c r="U13" s="74">
        <v>4</v>
      </c>
      <c r="V13" s="74">
        <v>5</v>
      </c>
      <c r="W13" s="74">
        <v>3</v>
      </c>
      <c r="X13" s="74">
        <v>2</v>
      </c>
      <c r="Y13" s="74" t="s">
        <v>1018</v>
      </c>
      <c r="Z13" s="74" t="s">
        <v>1046</v>
      </c>
      <c r="AA13" s="77">
        <v>0.85</v>
      </c>
    </row>
    <row r="14" spans="1:27" s="41" customFormat="1" ht="26.4" x14ac:dyDescent="0.3">
      <c r="A14" s="74" t="s">
        <v>1065</v>
      </c>
      <c r="B14" s="74" t="s">
        <v>1066</v>
      </c>
      <c r="C14" s="74" t="s">
        <v>1067</v>
      </c>
      <c r="D14" s="74" t="s">
        <v>79</v>
      </c>
      <c r="E14" s="74" t="s">
        <v>1043</v>
      </c>
      <c r="F14" s="74" t="s">
        <v>1012</v>
      </c>
      <c r="G14" s="74" t="s">
        <v>402</v>
      </c>
      <c r="H14" s="74" t="s">
        <v>1068</v>
      </c>
      <c r="I14" s="74" t="s">
        <v>1069</v>
      </c>
      <c r="J14" s="74" t="s">
        <v>1015</v>
      </c>
      <c r="K14" s="74" t="s">
        <v>1015</v>
      </c>
      <c r="L14" s="74" t="s">
        <v>1016</v>
      </c>
      <c r="M14" s="74" t="s">
        <v>672</v>
      </c>
      <c r="N14" s="74" t="s">
        <v>1016</v>
      </c>
      <c r="O14" s="74" t="s">
        <v>1016</v>
      </c>
      <c r="P14" s="74" t="s">
        <v>1016</v>
      </c>
      <c r="Q14" s="74" t="s">
        <v>1016</v>
      </c>
      <c r="R14" s="74" t="s">
        <v>1015</v>
      </c>
      <c r="S14" s="74" t="s">
        <v>1016</v>
      </c>
      <c r="T14" s="86"/>
      <c r="U14" s="74">
        <v>4</v>
      </c>
      <c r="V14" s="74">
        <v>5</v>
      </c>
      <c r="W14" s="74">
        <v>3</v>
      </c>
      <c r="X14" s="74">
        <v>2</v>
      </c>
      <c r="Y14" s="74" t="s">
        <v>1034</v>
      </c>
      <c r="Z14" s="74" t="s">
        <v>1070</v>
      </c>
      <c r="AA14" s="77">
        <v>0.4</v>
      </c>
    </row>
    <row r="15" spans="1:27" s="41" customFormat="1" ht="26.4" x14ac:dyDescent="0.3">
      <c r="A15" s="74" t="s">
        <v>1071</v>
      </c>
      <c r="B15" s="74" t="s">
        <v>1072</v>
      </c>
      <c r="C15" s="74" t="s">
        <v>1073</v>
      </c>
      <c r="D15" s="74" t="s">
        <v>80</v>
      </c>
      <c r="E15" s="74" t="s">
        <v>1063</v>
      </c>
      <c r="F15" s="74" t="s">
        <v>1012</v>
      </c>
      <c r="G15" s="74" t="s">
        <v>402</v>
      </c>
      <c r="H15" s="74" t="s">
        <v>1074</v>
      </c>
      <c r="I15" s="74" t="s">
        <v>1014</v>
      </c>
      <c r="J15" s="74" t="s">
        <v>1015</v>
      </c>
      <c r="K15" s="74" t="s">
        <v>1016</v>
      </c>
      <c r="L15" s="74" t="s">
        <v>1016</v>
      </c>
      <c r="M15" s="74" t="s">
        <v>1034</v>
      </c>
      <c r="N15" s="74" t="s">
        <v>1016</v>
      </c>
      <c r="O15" s="74" t="s">
        <v>1016</v>
      </c>
      <c r="P15" s="74" t="s">
        <v>1015</v>
      </c>
      <c r="Q15" s="74" t="s">
        <v>1015</v>
      </c>
      <c r="R15" s="74" t="s">
        <v>1016</v>
      </c>
      <c r="S15" s="74" t="s">
        <v>1016</v>
      </c>
      <c r="T15" s="86"/>
      <c r="U15" s="74">
        <v>2</v>
      </c>
      <c r="V15" s="74">
        <v>3</v>
      </c>
      <c r="W15" s="74">
        <v>4</v>
      </c>
      <c r="X15" s="74">
        <v>3</v>
      </c>
      <c r="Y15" s="74" t="s">
        <v>1018</v>
      </c>
      <c r="Z15" s="74" t="s">
        <v>1019</v>
      </c>
      <c r="AA15" s="77">
        <v>0.91</v>
      </c>
    </row>
    <row r="16" spans="1:27" s="41" customFormat="1" ht="26.4" x14ac:dyDescent="0.3">
      <c r="A16" s="74" t="s">
        <v>1075</v>
      </c>
      <c r="B16" s="74" t="s">
        <v>1076</v>
      </c>
      <c r="C16" s="74" t="s">
        <v>1077</v>
      </c>
      <c r="D16" s="74" t="s">
        <v>81</v>
      </c>
      <c r="E16" s="74" t="s">
        <v>1078</v>
      </c>
      <c r="F16" s="74" t="s">
        <v>1012</v>
      </c>
      <c r="G16" s="74" t="s">
        <v>1032</v>
      </c>
      <c r="H16" s="74" t="s">
        <v>1033</v>
      </c>
      <c r="I16" s="74" t="s">
        <v>1014</v>
      </c>
      <c r="J16" s="74" t="s">
        <v>1015</v>
      </c>
      <c r="K16" s="74" t="s">
        <v>1016</v>
      </c>
      <c r="L16" s="74" t="s">
        <v>1016</v>
      </c>
      <c r="M16" s="74" t="s">
        <v>1034</v>
      </c>
      <c r="N16" s="74" t="s">
        <v>1016</v>
      </c>
      <c r="O16" s="74" t="s">
        <v>1016</v>
      </c>
      <c r="P16" s="74" t="s">
        <v>1015</v>
      </c>
      <c r="Q16" s="74" t="s">
        <v>1015</v>
      </c>
      <c r="R16" s="74" t="s">
        <v>1016</v>
      </c>
      <c r="S16" s="74" t="s">
        <v>1016</v>
      </c>
      <c r="T16" s="86"/>
      <c r="U16" s="74">
        <v>2</v>
      </c>
      <c r="V16" s="74">
        <v>3</v>
      </c>
      <c r="W16" s="74">
        <v>3</v>
      </c>
      <c r="X16" s="74">
        <v>2</v>
      </c>
      <c r="Y16" s="74" t="s">
        <v>1045</v>
      </c>
      <c r="Z16" s="74" t="s">
        <v>1019</v>
      </c>
      <c r="AA16" s="77">
        <v>0.94</v>
      </c>
    </row>
    <row r="17" spans="1:27" s="41" customFormat="1" ht="26.4" x14ac:dyDescent="0.3">
      <c r="A17" s="74" t="s">
        <v>1079</v>
      </c>
      <c r="B17" s="74" t="s">
        <v>1080</v>
      </c>
      <c r="C17" s="74" t="s">
        <v>1081</v>
      </c>
      <c r="D17" s="74" t="s">
        <v>81</v>
      </c>
      <c r="E17" s="74" t="s">
        <v>1078</v>
      </c>
      <c r="F17" s="74" t="s">
        <v>1024</v>
      </c>
      <c r="G17" s="74" t="s">
        <v>1025</v>
      </c>
      <c r="H17" s="74" t="s">
        <v>1082</v>
      </c>
      <c r="I17" s="74" t="s">
        <v>1083</v>
      </c>
      <c r="J17" s="74" t="s">
        <v>1015</v>
      </c>
      <c r="K17" s="74" t="s">
        <v>1016</v>
      </c>
      <c r="L17" s="74" t="s">
        <v>1016</v>
      </c>
      <c r="M17" s="74" t="s">
        <v>1034</v>
      </c>
      <c r="N17" s="74" t="s">
        <v>1016</v>
      </c>
      <c r="O17" s="74" t="s">
        <v>1016</v>
      </c>
      <c r="P17" s="74" t="s">
        <v>1016</v>
      </c>
      <c r="Q17" s="74" t="s">
        <v>1016</v>
      </c>
      <c r="R17" s="74" t="s">
        <v>1016</v>
      </c>
      <c r="S17" s="74" t="s">
        <v>1015</v>
      </c>
      <c r="T17" s="86">
        <v>3.1999999999999997E+24</v>
      </c>
      <c r="U17" s="74">
        <v>3</v>
      </c>
      <c r="V17" s="74">
        <v>4</v>
      </c>
      <c r="W17" s="74">
        <v>3</v>
      </c>
      <c r="X17" s="74">
        <v>3</v>
      </c>
      <c r="Y17" s="74" t="s">
        <v>1018</v>
      </c>
      <c r="Z17" s="74" t="s">
        <v>1019</v>
      </c>
      <c r="AA17" s="77">
        <v>0.9</v>
      </c>
    </row>
    <row r="18" spans="1:27" s="41" customFormat="1" ht="26.4" x14ac:dyDescent="0.3">
      <c r="A18" s="74" t="s">
        <v>1084</v>
      </c>
      <c r="B18" s="74" t="s">
        <v>1085</v>
      </c>
      <c r="C18" s="74" t="s">
        <v>1086</v>
      </c>
      <c r="D18" s="74" t="s">
        <v>81</v>
      </c>
      <c r="E18" s="74" t="s">
        <v>1078</v>
      </c>
      <c r="F18" s="74" t="s">
        <v>1012</v>
      </c>
      <c r="G18" s="74" t="s">
        <v>402</v>
      </c>
      <c r="H18" s="74" t="s">
        <v>1087</v>
      </c>
      <c r="I18" s="74" t="s">
        <v>1014</v>
      </c>
      <c r="J18" s="74" t="s">
        <v>1015</v>
      </c>
      <c r="K18" s="74" t="s">
        <v>1016</v>
      </c>
      <c r="L18" s="74" t="s">
        <v>1016</v>
      </c>
      <c r="M18" s="74" t="s">
        <v>1034</v>
      </c>
      <c r="N18" s="74" t="s">
        <v>1016</v>
      </c>
      <c r="O18" s="74" t="s">
        <v>1016</v>
      </c>
      <c r="P18" s="74" t="s">
        <v>1016</v>
      </c>
      <c r="Q18" s="74" t="s">
        <v>1016</v>
      </c>
      <c r="R18" s="74" t="s">
        <v>1016</v>
      </c>
      <c r="S18" s="74" t="s">
        <v>1016</v>
      </c>
      <c r="T18" s="86"/>
      <c r="U18" s="74">
        <v>1</v>
      </c>
      <c r="V18" s="74">
        <v>2</v>
      </c>
      <c r="W18" s="74">
        <v>2</v>
      </c>
      <c r="X18" s="74">
        <v>2</v>
      </c>
      <c r="Y18" s="74" t="s">
        <v>1045</v>
      </c>
      <c r="Z18" s="74" t="s">
        <v>1046</v>
      </c>
      <c r="AA18" s="77">
        <v>0.89</v>
      </c>
    </row>
    <row r="19" spans="1:27" s="41" customFormat="1" ht="26.4" x14ac:dyDescent="0.3">
      <c r="A19" s="74" t="s">
        <v>1088</v>
      </c>
      <c r="B19" s="74" t="s">
        <v>1089</v>
      </c>
      <c r="C19" s="74" t="s">
        <v>1090</v>
      </c>
      <c r="D19" s="74" t="s">
        <v>77</v>
      </c>
      <c r="E19" s="74" t="s">
        <v>1091</v>
      </c>
      <c r="F19" s="74" t="s">
        <v>1024</v>
      </c>
      <c r="G19" s="74" t="s">
        <v>1025</v>
      </c>
      <c r="H19" s="74" t="s">
        <v>1092</v>
      </c>
      <c r="I19" s="74" t="s">
        <v>1014</v>
      </c>
      <c r="J19" s="74" t="s">
        <v>1015</v>
      </c>
      <c r="K19" s="74" t="s">
        <v>1016</v>
      </c>
      <c r="L19" s="74" t="s">
        <v>1016</v>
      </c>
      <c r="M19" s="74" t="s">
        <v>1034</v>
      </c>
      <c r="N19" s="74" t="s">
        <v>1016</v>
      </c>
      <c r="O19" s="74" t="s">
        <v>1016</v>
      </c>
      <c r="P19" s="74" t="s">
        <v>1016</v>
      </c>
      <c r="Q19" s="74" t="s">
        <v>1016</v>
      </c>
      <c r="R19" s="74" t="s">
        <v>1016</v>
      </c>
      <c r="S19" s="74" t="s">
        <v>1016</v>
      </c>
      <c r="T19" s="86"/>
      <c r="U19" s="74">
        <v>3</v>
      </c>
      <c r="V19" s="74">
        <v>3</v>
      </c>
      <c r="W19" s="74">
        <v>2</v>
      </c>
      <c r="X19" s="74">
        <v>3</v>
      </c>
      <c r="Y19" s="74" t="s">
        <v>1045</v>
      </c>
      <c r="Z19" s="74" t="s">
        <v>1019</v>
      </c>
      <c r="AA19" s="77">
        <v>0.95</v>
      </c>
    </row>
    <row r="20" spans="1:27" s="41" customFormat="1" ht="26.4" x14ac:dyDescent="0.3">
      <c r="A20" s="74" t="s">
        <v>1093</v>
      </c>
      <c r="B20" s="74" t="s">
        <v>1094</v>
      </c>
      <c r="C20" s="74" t="s">
        <v>1095</v>
      </c>
      <c r="D20" s="74" t="s">
        <v>77</v>
      </c>
      <c r="E20" s="74" t="s">
        <v>1091</v>
      </c>
      <c r="F20" s="74" t="s">
        <v>1024</v>
      </c>
      <c r="G20" s="74" t="s">
        <v>1025</v>
      </c>
      <c r="H20" s="74" t="s">
        <v>1050</v>
      </c>
      <c r="I20" s="74" t="s">
        <v>1014</v>
      </c>
      <c r="J20" s="74" t="s">
        <v>1016</v>
      </c>
      <c r="K20" s="74" t="s">
        <v>1016</v>
      </c>
      <c r="L20" s="74" t="s">
        <v>1016</v>
      </c>
      <c r="M20" s="74" t="s">
        <v>1027</v>
      </c>
      <c r="N20" s="74" t="s">
        <v>1015</v>
      </c>
      <c r="O20" s="74" t="s">
        <v>1016</v>
      </c>
      <c r="P20" s="74" t="s">
        <v>1016</v>
      </c>
      <c r="Q20" s="74" t="s">
        <v>1016</v>
      </c>
      <c r="R20" s="74" t="s">
        <v>1016</v>
      </c>
      <c r="S20" s="74" t="s">
        <v>1016</v>
      </c>
      <c r="T20" s="86"/>
      <c r="U20" s="74">
        <v>4</v>
      </c>
      <c r="V20" s="74">
        <v>5</v>
      </c>
      <c r="W20" s="74">
        <v>3</v>
      </c>
      <c r="X20" s="74">
        <v>3</v>
      </c>
      <c r="Y20" s="74" t="s">
        <v>1018</v>
      </c>
      <c r="Z20" s="74" t="s">
        <v>1019</v>
      </c>
      <c r="AA20" s="77">
        <v>0.92</v>
      </c>
    </row>
    <row r="21" spans="1:27" s="41" customFormat="1" x14ac:dyDescent="0.3">
      <c r="A21" s="74" t="s">
        <v>1096</v>
      </c>
      <c r="B21" s="74" t="s">
        <v>1097</v>
      </c>
      <c r="C21" s="74" t="s">
        <v>1098</v>
      </c>
      <c r="D21" s="74" t="s">
        <v>74</v>
      </c>
      <c r="E21" s="74" t="s">
        <v>1023</v>
      </c>
      <c r="F21" s="74" t="s">
        <v>1012</v>
      </c>
      <c r="G21" s="74" t="s">
        <v>402</v>
      </c>
      <c r="H21" s="74" t="s">
        <v>1099</v>
      </c>
      <c r="I21" s="74" t="s">
        <v>1014</v>
      </c>
      <c r="J21" s="74" t="s">
        <v>1015</v>
      </c>
      <c r="K21" s="74" t="s">
        <v>1016</v>
      </c>
      <c r="L21" s="74" t="s">
        <v>1016</v>
      </c>
      <c r="M21" s="74" t="s">
        <v>1027</v>
      </c>
      <c r="N21" s="74" t="s">
        <v>1016</v>
      </c>
      <c r="O21" s="74" t="s">
        <v>1015</v>
      </c>
      <c r="P21" s="74" t="s">
        <v>1016</v>
      </c>
      <c r="Q21" s="74" t="s">
        <v>1016</v>
      </c>
      <c r="R21" s="74" t="s">
        <v>1016</v>
      </c>
      <c r="S21" s="74" t="s">
        <v>1016</v>
      </c>
      <c r="T21" s="86"/>
      <c r="U21" s="74">
        <v>2</v>
      </c>
      <c r="V21" s="74">
        <v>4</v>
      </c>
      <c r="W21" s="74">
        <v>4</v>
      </c>
      <c r="X21" s="74">
        <v>3</v>
      </c>
      <c r="Y21" s="74" t="s">
        <v>1045</v>
      </c>
      <c r="Z21" s="74" t="s">
        <v>1019</v>
      </c>
      <c r="AA21" s="77">
        <v>0.94</v>
      </c>
    </row>
    <row r="22" spans="1:27" s="41" customFormat="1" ht="26.4" x14ac:dyDescent="0.3">
      <c r="A22" s="74" t="s">
        <v>1100</v>
      </c>
      <c r="B22" s="74" t="s">
        <v>1101</v>
      </c>
      <c r="C22" s="74" t="s">
        <v>1102</v>
      </c>
      <c r="D22" s="74" t="s">
        <v>80</v>
      </c>
      <c r="E22" s="74" t="s">
        <v>1063</v>
      </c>
      <c r="F22" s="74" t="s">
        <v>1012</v>
      </c>
      <c r="G22" s="74" t="s">
        <v>402</v>
      </c>
      <c r="H22" s="74" t="s">
        <v>1103</v>
      </c>
      <c r="I22" s="74" t="s">
        <v>1014</v>
      </c>
      <c r="J22" s="74" t="s">
        <v>1015</v>
      </c>
      <c r="K22" s="74" t="s">
        <v>1016</v>
      </c>
      <c r="L22" s="74" t="s">
        <v>1016</v>
      </c>
      <c r="M22" s="74" t="s">
        <v>1017</v>
      </c>
      <c r="N22" s="74" t="s">
        <v>1016</v>
      </c>
      <c r="O22" s="74" t="s">
        <v>1016</v>
      </c>
      <c r="P22" s="74" t="s">
        <v>1016</v>
      </c>
      <c r="Q22" s="74" t="s">
        <v>1016</v>
      </c>
      <c r="R22" s="74" t="s">
        <v>1016</v>
      </c>
      <c r="S22" s="74" t="s">
        <v>1016</v>
      </c>
      <c r="T22" s="86"/>
      <c r="U22" s="74">
        <v>3</v>
      </c>
      <c r="V22" s="74">
        <v>3</v>
      </c>
      <c r="W22" s="74">
        <v>3</v>
      </c>
      <c r="X22" s="74">
        <v>3</v>
      </c>
      <c r="Y22" s="74" t="s">
        <v>1018</v>
      </c>
      <c r="Z22" s="74" t="s">
        <v>1019</v>
      </c>
      <c r="AA22" s="77">
        <v>0.9</v>
      </c>
    </row>
    <row r="23" spans="1:27" s="41" customFormat="1" ht="26.4" x14ac:dyDescent="0.3">
      <c r="A23" s="74" t="s">
        <v>1104</v>
      </c>
      <c r="B23" s="74" t="s">
        <v>1105</v>
      </c>
      <c r="C23" s="74" t="s">
        <v>1106</v>
      </c>
      <c r="D23" s="74" t="s">
        <v>80</v>
      </c>
      <c r="E23" s="74" t="s">
        <v>1063</v>
      </c>
      <c r="F23" s="74" t="s">
        <v>1024</v>
      </c>
      <c r="G23" s="74" t="s">
        <v>1025</v>
      </c>
      <c r="H23" s="74" t="s">
        <v>1107</v>
      </c>
      <c r="I23" s="74" t="s">
        <v>1014</v>
      </c>
      <c r="J23" s="74" t="s">
        <v>1015</v>
      </c>
      <c r="K23" s="74" t="s">
        <v>1016</v>
      </c>
      <c r="L23" s="74" t="s">
        <v>1016</v>
      </c>
      <c r="M23" s="74" t="s">
        <v>1034</v>
      </c>
      <c r="N23" s="74" t="s">
        <v>1016</v>
      </c>
      <c r="O23" s="74" t="s">
        <v>1016</v>
      </c>
      <c r="P23" s="74" t="s">
        <v>1016</v>
      </c>
      <c r="Q23" s="74" t="s">
        <v>1016</v>
      </c>
      <c r="R23" s="74" t="s">
        <v>1016</v>
      </c>
      <c r="S23" s="74" t="s">
        <v>1016</v>
      </c>
      <c r="T23" s="86"/>
      <c r="U23" s="74">
        <v>1</v>
      </c>
      <c r="V23" s="74">
        <v>1</v>
      </c>
      <c r="W23" s="74">
        <v>2</v>
      </c>
      <c r="X23" s="74">
        <v>4</v>
      </c>
      <c r="Y23" s="74" t="s">
        <v>1045</v>
      </c>
      <c r="Z23" s="74" t="s">
        <v>1019</v>
      </c>
      <c r="AA23" s="77">
        <v>0.96</v>
      </c>
    </row>
    <row r="24" spans="1:27" s="41" customFormat="1" ht="26.4" x14ac:dyDescent="0.3">
      <c r="A24" s="74" t="s">
        <v>1108</v>
      </c>
      <c r="B24" s="74" t="s">
        <v>1109</v>
      </c>
      <c r="C24" s="74" t="s">
        <v>1110</v>
      </c>
      <c r="D24" s="74" t="s">
        <v>76</v>
      </c>
      <c r="E24" s="74" t="s">
        <v>1011</v>
      </c>
      <c r="F24" s="74" t="s">
        <v>1012</v>
      </c>
      <c r="G24" s="74" t="s">
        <v>402</v>
      </c>
      <c r="H24" s="74" t="s">
        <v>1013</v>
      </c>
      <c r="I24" s="74" t="s">
        <v>1069</v>
      </c>
      <c r="J24" s="74" t="s">
        <v>1015</v>
      </c>
      <c r="K24" s="74" t="s">
        <v>1016</v>
      </c>
      <c r="L24" s="74" t="s">
        <v>1016</v>
      </c>
      <c r="M24" s="74" t="s">
        <v>1111</v>
      </c>
      <c r="N24" s="74" t="s">
        <v>1015</v>
      </c>
      <c r="O24" s="74" t="s">
        <v>1016</v>
      </c>
      <c r="P24" s="74" t="s">
        <v>1016</v>
      </c>
      <c r="Q24" s="74" t="s">
        <v>1016</v>
      </c>
      <c r="R24" s="74" t="s">
        <v>1016</v>
      </c>
      <c r="S24" s="74" t="s">
        <v>1016</v>
      </c>
      <c r="T24" s="86"/>
      <c r="U24" s="74">
        <v>4</v>
      </c>
      <c r="V24" s="74">
        <v>4</v>
      </c>
      <c r="W24" s="74">
        <v>2</v>
      </c>
      <c r="X24" s="74">
        <v>2</v>
      </c>
      <c r="Y24" s="74" t="s">
        <v>1018</v>
      </c>
      <c r="Z24" s="74" t="s">
        <v>1046</v>
      </c>
      <c r="AA24" s="77">
        <v>0.86</v>
      </c>
    </row>
    <row r="25" spans="1:27" s="41" customFormat="1" x14ac:dyDescent="0.3">
      <c r="A25" s="74" t="s">
        <v>1112</v>
      </c>
      <c r="B25" s="74" t="s">
        <v>1113</v>
      </c>
      <c r="C25" s="74" t="s">
        <v>1114</v>
      </c>
      <c r="D25" s="74" t="s">
        <v>76</v>
      </c>
      <c r="E25" s="74" t="s">
        <v>1011</v>
      </c>
      <c r="F25" s="74" t="s">
        <v>1012</v>
      </c>
      <c r="G25" s="74" t="s">
        <v>402</v>
      </c>
      <c r="H25" s="74" t="s">
        <v>1115</v>
      </c>
      <c r="I25" s="74" t="s">
        <v>1014</v>
      </c>
      <c r="J25" s="74" t="s">
        <v>1015</v>
      </c>
      <c r="K25" s="74" t="s">
        <v>1016</v>
      </c>
      <c r="L25" s="74" t="s">
        <v>1016</v>
      </c>
      <c r="M25" s="74" t="s">
        <v>1034</v>
      </c>
      <c r="N25" s="74" t="s">
        <v>1016</v>
      </c>
      <c r="O25" s="74" t="s">
        <v>1016</v>
      </c>
      <c r="P25" s="74" t="s">
        <v>1016</v>
      </c>
      <c r="Q25" s="74" t="s">
        <v>1015</v>
      </c>
      <c r="R25" s="74" t="s">
        <v>1016</v>
      </c>
      <c r="S25" s="74" t="s">
        <v>1016</v>
      </c>
      <c r="T25" s="86"/>
      <c r="U25" s="74">
        <v>1</v>
      </c>
      <c r="V25" s="74">
        <v>1</v>
      </c>
      <c r="W25" s="74">
        <v>2</v>
      </c>
      <c r="X25" s="74">
        <v>2</v>
      </c>
      <c r="Y25" s="74" t="s">
        <v>1045</v>
      </c>
      <c r="Z25" s="74" t="s">
        <v>1019</v>
      </c>
      <c r="AA25" s="77">
        <v>0.91</v>
      </c>
    </row>
    <row r="26" spans="1:27" s="41" customFormat="1" ht="26.4" x14ac:dyDescent="0.3">
      <c r="A26" s="74" t="s">
        <v>1116</v>
      </c>
      <c r="B26" s="74" t="s">
        <v>1117</v>
      </c>
      <c r="C26" s="74" t="s">
        <v>1118</v>
      </c>
      <c r="D26" s="74" t="s">
        <v>78</v>
      </c>
      <c r="E26" s="74" t="s">
        <v>1119</v>
      </c>
      <c r="F26" s="74" t="s">
        <v>1024</v>
      </c>
      <c r="G26" s="74" t="s">
        <v>1120</v>
      </c>
      <c r="H26" s="74" t="s">
        <v>1121</v>
      </c>
      <c r="I26" s="74" t="s">
        <v>1014</v>
      </c>
      <c r="J26" s="74" t="s">
        <v>1015</v>
      </c>
      <c r="K26" s="74" t="s">
        <v>1016</v>
      </c>
      <c r="L26" s="74" t="s">
        <v>1016</v>
      </c>
      <c r="M26" s="74" t="s">
        <v>1034</v>
      </c>
      <c r="N26" s="74" t="s">
        <v>1016</v>
      </c>
      <c r="O26" s="74" t="s">
        <v>1016</v>
      </c>
      <c r="P26" s="74" t="s">
        <v>1016</v>
      </c>
      <c r="Q26" s="74" t="s">
        <v>1016</v>
      </c>
      <c r="R26" s="74" t="s">
        <v>1016</v>
      </c>
      <c r="S26" s="74" t="s">
        <v>1016</v>
      </c>
      <c r="T26" s="86"/>
      <c r="U26" s="74">
        <v>4</v>
      </c>
      <c r="V26" s="74">
        <v>4</v>
      </c>
      <c r="W26" s="74">
        <v>5</v>
      </c>
      <c r="X26" s="74">
        <v>3</v>
      </c>
      <c r="Y26" s="74" t="s">
        <v>1045</v>
      </c>
      <c r="Z26" s="74" t="s">
        <v>1019</v>
      </c>
      <c r="AA26" s="77">
        <v>0.97</v>
      </c>
    </row>
    <row r="27" spans="1:27" s="41" customFormat="1" ht="26.4" x14ac:dyDescent="0.3">
      <c r="A27" s="74" t="s">
        <v>1122</v>
      </c>
      <c r="B27" s="74" t="s">
        <v>1123</v>
      </c>
      <c r="C27" s="74" t="s">
        <v>1124</v>
      </c>
      <c r="D27" s="74" t="s">
        <v>74</v>
      </c>
      <c r="E27" s="74" t="s">
        <v>1031</v>
      </c>
      <c r="F27" s="74" t="s">
        <v>1012</v>
      </c>
      <c r="G27" s="74" t="s">
        <v>402</v>
      </c>
      <c r="H27" s="74" t="s">
        <v>1125</v>
      </c>
      <c r="I27" s="74" t="s">
        <v>1014</v>
      </c>
      <c r="J27" s="74" t="s">
        <v>1015</v>
      </c>
      <c r="K27" s="74" t="s">
        <v>1016</v>
      </c>
      <c r="L27" s="74" t="s">
        <v>1016</v>
      </c>
      <c r="M27" s="74" t="s">
        <v>1034</v>
      </c>
      <c r="N27" s="74" t="s">
        <v>1016</v>
      </c>
      <c r="O27" s="74" t="s">
        <v>1016</v>
      </c>
      <c r="P27" s="74" t="s">
        <v>1016</v>
      </c>
      <c r="Q27" s="74" t="s">
        <v>1016</v>
      </c>
      <c r="R27" s="74" t="s">
        <v>1016</v>
      </c>
      <c r="S27" s="74" t="s">
        <v>1016</v>
      </c>
      <c r="T27" s="86"/>
      <c r="U27" s="74">
        <v>3</v>
      </c>
      <c r="V27" s="74">
        <v>5</v>
      </c>
      <c r="W27" s="74">
        <v>5</v>
      </c>
      <c r="X27" s="74">
        <v>3</v>
      </c>
      <c r="Y27" s="74" t="s">
        <v>1018</v>
      </c>
      <c r="Z27" s="74" t="s">
        <v>1019</v>
      </c>
      <c r="AA27" s="77">
        <v>0.93</v>
      </c>
    </row>
    <row r="28" spans="1:27" s="41" customFormat="1" x14ac:dyDescent="0.3">
      <c r="A28" s="74" t="s">
        <v>1126</v>
      </c>
      <c r="B28" s="74" t="s">
        <v>1127</v>
      </c>
      <c r="C28" s="74" t="s">
        <v>1128</v>
      </c>
      <c r="D28" s="74" t="s">
        <v>74</v>
      </c>
      <c r="E28" s="74" t="s">
        <v>1031</v>
      </c>
      <c r="F28" s="74" t="s">
        <v>1024</v>
      </c>
      <c r="G28" s="74" t="s">
        <v>1025</v>
      </c>
      <c r="H28" s="74" t="s">
        <v>1129</v>
      </c>
      <c r="I28" s="74" t="s">
        <v>1014</v>
      </c>
      <c r="J28" s="74" t="s">
        <v>1015</v>
      </c>
      <c r="K28" s="74" t="s">
        <v>1016</v>
      </c>
      <c r="L28" s="74" t="s">
        <v>1016</v>
      </c>
      <c r="M28" s="74" t="s">
        <v>1034</v>
      </c>
      <c r="N28" s="74" t="s">
        <v>1016</v>
      </c>
      <c r="O28" s="74" t="s">
        <v>1016</v>
      </c>
      <c r="P28" s="74" t="s">
        <v>1015</v>
      </c>
      <c r="Q28" s="74" t="s">
        <v>1015</v>
      </c>
      <c r="R28" s="74" t="s">
        <v>1016</v>
      </c>
      <c r="S28" s="74" t="s">
        <v>1016</v>
      </c>
      <c r="T28" s="86"/>
      <c r="U28" s="74">
        <v>4</v>
      </c>
      <c r="V28" s="74">
        <v>4</v>
      </c>
      <c r="W28" s="74">
        <v>3</v>
      </c>
      <c r="X28" s="74">
        <v>3</v>
      </c>
      <c r="Y28" s="74" t="s">
        <v>1018</v>
      </c>
      <c r="Z28" s="74" t="s">
        <v>1019</v>
      </c>
      <c r="AA28" s="77">
        <v>0.95</v>
      </c>
    </row>
    <row r="29" spans="1:27" s="41" customFormat="1" x14ac:dyDescent="0.3">
      <c r="A29" s="74" t="s">
        <v>1130</v>
      </c>
      <c r="B29" s="74" t="s">
        <v>1131</v>
      </c>
      <c r="C29" s="74" t="s">
        <v>1132</v>
      </c>
      <c r="D29" s="74" t="s">
        <v>79</v>
      </c>
      <c r="E29" s="74" t="s">
        <v>1043</v>
      </c>
      <c r="F29" s="74" t="s">
        <v>1024</v>
      </c>
      <c r="G29" s="74" t="s">
        <v>1025</v>
      </c>
      <c r="H29" s="74" t="s">
        <v>1133</v>
      </c>
      <c r="I29" s="74" t="s">
        <v>1014</v>
      </c>
      <c r="J29" s="74" t="s">
        <v>1015</v>
      </c>
      <c r="K29" s="74" t="s">
        <v>1016</v>
      </c>
      <c r="L29" s="74" t="s">
        <v>1016</v>
      </c>
      <c r="M29" s="74" t="s">
        <v>1034</v>
      </c>
      <c r="N29" s="74" t="s">
        <v>1016</v>
      </c>
      <c r="O29" s="74" t="s">
        <v>1016</v>
      </c>
      <c r="P29" s="74" t="s">
        <v>1016</v>
      </c>
      <c r="Q29" s="74" t="s">
        <v>1016</v>
      </c>
      <c r="R29" s="74" t="s">
        <v>1016</v>
      </c>
      <c r="S29" s="74" t="s">
        <v>1016</v>
      </c>
      <c r="T29" s="86"/>
      <c r="U29" s="74">
        <v>1</v>
      </c>
      <c r="V29" s="74">
        <v>3</v>
      </c>
      <c r="W29" s="74">
        <v>4</v>
      </c>
      <c r="X29" s="74">
        <v>2</v>
      </c>
      <c r="Y29" s="74" t="s">
        <v>1045</v>
      </c>
      <c r="Z29" s="74" t="s">
        <v>1019</v>
      </c>
      <c r="AA29" s="77">
        <v>0.94</v>
      </c>
    </row>
    <row r="30" spans="1:27" s="41" customFormat="1" ht="26.4" x14ac:dyDescent="0.3">
      <c r="A30" s="74" t="s">
        <v>1134</v>
      </c>
      <c r="B30" s="74" t="s">
        <v>1135</v>
      </c>
      <c r="C30" s="74" t="s">
        <v>1136</v>
      </c>
      <c r="D30" s="74" t="s">
        <v>74</v>
      </c>
      <c r="E30" s="74" t="s">
        <v>1023</v>
      </c>
      <c r="F30" s="74" t="s">
        <v>1024</v>
      </c>
      <c r="G30" s="74" t="s">
        <v>1025</v>
      </c>
      <c r="H30" s="74" t="s">
        <v>1026</v>
      </c>
      <c r="I30" s="74" t="s">
        <v>1014</v>
      </c>
      <c r="J30" s="74" t="s">
        <v>1015</v>
      </c>
      <c r="K30" s="74" t="s">
        <v>1016</v>
      </c>
      <c r="L30" s="74" t="s">
        <v>1016</v>
      </c>
      <c r="M30" s="74" t="s">
        <v>1027</v>
      </c>
      <c r="N30" s="74" t="s">
        <v>1015</v>
      </c>
      <c r="O30" s="74" t="s">
        <v>1016</v>
      </c>
      <c r="P30" s="74" t="s">
        <v>1016</v>
      </c>
      <c r="Q30" s="74" t="s">
        <v>1016</v>
      </c>
      <c r="R30" s="74" t="s">
        <v>1016</v>
      </c>
      <c r="S30" s="74" t="s">
        <v>1016</v>
      </c>
      <c r="T30" s="86"/>
      <c r="U30" s="74">
        <v>4</v>
      </c>
      <c r="V30" s="74">
        <v>5</v>
      </c>
      <c r="W30" s="74">
        <v>5</v>
      </c>
      <c r="X30" s="74">
        <v>3</v>
      </c>
      <c r="Y30" s="74" t="s">
        <v>1018</v>
      </c>
      <c r="Z30" s="74" t="s">
        <v>1019</v>
      </c>
      <c r="AA30" s="77">
        <v>0.97</v>
      </c>
    </row>
    <row r="31" spans="1:27" s="41" customFormat="1" ht="26.4" x14ac:dyDescent="0.3">
      <c r="A31" s="74" t="s">
        <v>1137</v>
      </c>
      <c r="B31" s="74" t="s">
        <v>1138</v>
      </c>
      <c r="C31" s="74" t="s">
        <v>1139</v>
      </c>
      <c r="D31" s="74" t="s">
        <v>75</v>
      </c>
      <c r="E31" s="74" t="s">
        <v>1054</v>
      </c>
      <c r="F31" s="74" t="s">
        <v>1012</v>
      </c>
      <c r="G31" s="74" t="s">
        <v>402</v>
      </c>
      <c r="H31" s="74" t="s">
        <v>1140</v>
      </c>
      <c r="I31" s="74" t="s">
        <v>1014</v>
      </c>
      <c r="J31" s="74" t="s">
        <v>1015</v>
      </c>
      <c r="K31" s="74" t="s">
        <v>1016</v>
      </c>
      <c r="L31" s="74" t="s">
        <v>1016</v>
      </c>
      <c r="M31" s="74" t="s">
        <v>1027</v>
      </c>
      <c r="N31" s="74" t="s">
        <v>1015</v>
      </c>
      <c r="O31" s="74" t="s">
        <v>1016</v>
      </c>
      <c r="P31" s="74" t="s">
        <v>1016</v>
      </c>
      <c r="Q31" s="74" t="s">
        <v>1016</v>
      </c>
      <c r="R31" s="74" t="s">
        <v>1016</v>
      </c>
      <c r="S31" s="74" t="s">
        <v>1016</v>
      </c>
      <c r="T31" s="86"/>
      <c r="U31" s="74">
        <v>5</v>
      </c>
      <c r="V31" s="74">
        <v>5</v>
      </c>
      <c r="W31" s="74">
        <v>3</v>
      </c>
      <c r="X31" s="74">
        <v>3</v>
      </c>
      <c r="Y31" s="74" t="s">
        <v>1018</v>
      </c>
      <c r="Z31" s="74" t="s">
        <v>1019</v>
      </c>
      <c r="AA31" s="77">
        <v>0.9</v>
      </c>
    </row>
    <row r="32" spans="1:27" s="41" customFormat="1" ht="26.4" x14ac:dyDescent="0.3">
      <c r="A32" s="74" t="s">
        <v>1141</v>
      </c>
      <c r="B32" s="74" t="s">
        <v>1142</v>
      </c>
      <c r="C32" s="74" t="s">
        <v>1143</v>
      </c>
      <c r="D32" s="74" t="s">
        <v>76</v>
      </c>
      <c r="E32" s="74" t="s">
        <v>1011</v>
      </c>
      <c r="F32" s="74" t="s">
        <v>1012</v>
      </c>
      <c r="G32" s="74" t="s">
        <v>402</v>
      </c>
      <c r="H32" s="74" t="s">
        <v>1144</v>
      </c>
      <c r="I32" s="74" t="s">
        <v>1069</v>
      </c>
      <c r="J32" s="74" t="s">
        <v>1015</v>
      </c>
      <c r="K32" s="74" t="s">
        <v>1016</v>
      </c>
      <c r="L32" s="74" t="s">
        <v>1016</v>
      </c>
      <c r="M32" s="74" t="s">
        <v>1017</v>
      </c>
      <c r="N32" s="74" t="s">
        <v>1015</v>
      </c>
      <c r="O32" s="74" t="s">
        <v>1016</v>
      </c>
      <c r="P32" s="74" t="s">
        <v>1016</v>
      </c>
      <c r="Q32" s="74" t="s">
        <v>1016</v>
      </c>
      <c r="R32" s="74" t="s">
        <v>1015</v>
      </c>
      <c r="S32" s="74" t="s">
        <v>1016</v>
      </c>
      <c r="T32" s="86"/>
      <c r="U32" s="74">
        <v>4</v>
      </c>
      <c r="V32" s="74">
        <v>5</v>
      </c>
      <c r="W32" s="74">
        <v>2</v>
      </c>
      <c r="X32" s="74">
        <v>3</v>
      </c>
      <c r="Y32" s="74" t="s">
        <v>1018</v>
      </c>
      <c r="Z32" s="74" t="s">
        <v>1046</v>
      </c>
      <c r="AA32" s="77">
        <v>0.72</v>
      </c>
    </row>
    <row r="33" spans="1:27" s="41" customFormat="1" x14ac:dyDescent="0.3">
      <c r="A33" s="74" t="s">
        <v>1145</v>
      </c>
      <c r="B33" s="74" t="s">
        <v>1146</v>
      </c>
      <c r="C33" s="74" t="s">
        <v>1147</v>
      </c>
      <c r="D33" s="74" t="s">
        <v>81</v>
      </c>
      <c r="E33" s="74" t="s">
        <v>1078</v>
      </c>
      <c r="F33" s="74" t="s">
        <v>1024</v>
      </c>
      <c r="G33" s="74" t="s">
        <v>1025</v>
      </c>
      <c r="H33" s="74" t="s">
        <v>1148</v>
      </c>
      <c r="I33" s="74" t="s">
        <v>1014</v>
      </c>
      <c r="J33" s="74" t="s">
        <v>1015</v>
      </c>
      <c r="K33" s="74" t="s">
        <v>1016</v>
      </c>
      <c r="L33" s="74" t="s">
        <v>1016</v>
      </c>
      <c r="M33" s="74" t="s">
        <v>1034</v>
      </c>
      <c r="N33" s="74" t="s">
        <v>1016</v>
      </c>
      <c r="O33" s="74" t="s">
        <v>1016</v>
      </c>
      <c r="P33" s="74" t="s">
        <v>1016</v>
      </c>
      <c r="Q33" s="74" t="s">
        <v>1016</v>
      </c>
      <c r="R33" s="74" t="s">
        <v>1016</v>
      </c>
      <c r="S33" s="74" t="s">
        <v>1016</v>
      </c>
      <c r="T33" s="86"/>
      <c r="U33" s="74">
        <v>1</v>
      </c>
      <c r="V33" s="74">
        <v>2</v>
      </c>
      <c r="W33" s="74">
        <v>1</v>
      </c>
      <c r="X33" s="74">
        <v>3</v>
      </c>
      <c r="Y33" s="74" t="s">
        <v>1045</v>
      </c>
      <c r="Z33" s="74" t="s">
        <v>1019</v>
      </c>
      <c r="AA33" s="77">
        <v>0.96</v>
      </c>
    </row>
    <row r="34" spans="1:27" s="41" customFormat="1" x14ac:dyDescent="0.3">
      <c r="A34" s="74" t="s">
        <v>1149</v>
      </c>
      <c r="B34" s="74" t="s">
        <v>1150</v>
      </c>
      <c r="C34" s="74" t="s">
        <v>1151</v>
      </c>
      <c r="D34" s="74" t="s">
        <v>76</v>
      </c>
      <c r="E34" s="74" t="s">
        <v>1011</v>
      </c>
      <c r="F34" s="74" t="s">
        <v>1012</v>
      </c>
      <c r="G34" s="74" t="s">
        <v>402</v>
      </c>
      <c r="H34" s="74" t="s">
        <v>1033</v>
      </c>
      <c r="I34" s="74" t="s">
        <v>1069</v>
      </c>
      <c r="J34" s="74" t="s">
        <v>1015</v>
      </c>
      <c r="K34" s="74" t="s">
        <v>1016</v>
      </c>
      <c r="L34" s="74" t="s">
        <v>1016</v>
      </c>
      <c r="M34" s="74" t="s">
        <v>1034</v>
      </c>
      <c r="N34" s="74" t="s">
        <v>1016</v>
      </c>
      <c r="O34" s="74" t="s">
        <v>1016</v>
      </c>
      <c r="P34" s="74" t="s">
        <v>1015</v>
      </c>
      <c r="Q34" s="74" t="s">
        <v>1015</v>
      </c>
      <c r="R34" s="74" t="s">
        <v>1016</v>
      </c>
      <c r="S34" s="74" t="s">
        <v>1016</v>
      </c>
      <c r="T34" s="86"/>
      <c r="U34" s="74">
        <v>2</v>
      </c>
      <c r="V34" s="74">
        <v>3</v>
      </c>
      <c r="W34" s="74">
        <v>3</v>
      </c>
      <c r="X34" s="74">
        <v>2</v>
      </c>
      <c r="Y34" s="74" t="s">
        <v>1045</v>
      </c>
      <c r="Z34" s="74" t="s">
        <v>1019</v>
      </c>
      <c r="AA34" s="77">
        <v>0.88</v>
      </c>
    </row>
  </sheetData>
  <dataValidations count="2">
    <dataValidation type="list" allowBlank="1" sqref="N5:S34 J5:L34" xr:uid="{00000000-0002-0000-0A00-000000000000}">
      <formula1>"Y,N"</formula1>
      <formula2>0</formula2>
    </dataValidation>
    <dataValidation type="list" allowBlank="1" sqref="M5:M34" xr:uid="{00000000-0002-0000-0A00-000009000000}">
      <formula1>"Biometrics,Critical infrastructure,Education,Employment,Essential services,Law enforcement,Migration &amp; border,Justice &amp; democracy,None"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548235"/>
  </sheetPr>
  <dimension ref="A1:Q34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7" sqref="C7"/>
    </sheetView>
  </sheetViews>
  <sheetFormatPr defaultColWidth="8.77734375" defaultRowHeight="14.4" x14ac:dyDescent="0.3"/>
  <cols>
    <col min="1" max="1" width="9" customWidth="1"/>
    <col min="2" max="2" width="32" customWidth="1"/>
    <col min="3" max="3" width="23.88671875" customWidth="1"/>
    <col min="4" max="4" width="12" customWidth="1"/>
    <col min="5" max="5" width="11" customWidth="1"/>
    <col min="6" max="6" width="16" customWidth="1"/>
    <col min="7" max="7" width="23.88671875" customWidth="1"/>
    <col min="8" max="8" width="11" customWidth="1"/>
    <col min="9" max="9" width="60" customWidth="1"/>
    <col min="10" max="11" width="23.88671875" customWidth="1"/>
    <col min="12" max="12" width="12" customWidth="1"/>
    <col min="13" max="14" width="9.88671875" customWidth="1"/>
    <col min="15" max="15" width="50" customWidth="1"/>
    <col min="16" max="16" width="26" customWidth="1"/>
    <col min="17" max="17" width="18" customWidth="1"/>
  </cols>
  <sheetData>
    <row r="1" spans="1:17" ht="17.399999999999999" x14ac:dyDescent="0.3">
      <c r="A1" s="4" t="s">
        <v>1152</v>
      </c>
    </row>
    <row r="2" spans="1:17" x14ac:dyDescent="0.3">
      <c r="A2" s="5" t="s">
        <v>1153</v>
      </c>
    </row>
    <row r="4" spans="1:17" s="79" customFormat="1" ht="48" customHeight="1" x14ac:dyDescent="0.3">
      <c r="A4" s="85" t="s">
        <v>985</v>
      </c>
      <c r="B4" s="85" t="s">
        <v>986</v>
      </c>
      <c r="C4" s="85" t="s">
        <v>1154</v>
      </c>
      <c r="D4" s="85" t="s">
        <v>1155</v>
      </c>
      <c r="E4" s="85" t="s">
        <v>1156</v>
      </c>
      <c r="F4" s="85" t="s">
        <v>1157</v>
      </c>
      <c r="G4" s="85" t="s">
        <v>1158</v>
      </c>
      <c r="H4" s="85" t="s">
        <v>1159</v>
      </c>
      <c r="I4" s="85" t="s">
        <v>1160</v>
      </c>
      <c r="J4" s="85" t="s">
        <v>1161</v>
      </c>
      <c r="K4" s="85" t="s">
        <v>1162</v>
      </c>
      <c r="L4" s="85" t="s">
        <v>1163</v>
      </c>
      <c r="M4" s="85" t="s">
        <v>1164</v>
      </c>
      <c r="N4" s="85" t="s">
        <v>1165</v>
      </c>
      <c r="O4" s="85" t="s">
        <v>1166</v>
      </c>
      <c r="P4" s="85" t="s">
        <v>1167</v>
      </c>
      <c r="Q4" s="85" t="s">
        <v>1168</v>
      </c>
    </row>
    <row r="5" spans="1:17" ht="26.4" x14ac:dyDescent="0.3">
      <c r="A5" s="74" t="str">
        <f>Syn_AI_Inventory!A5</f>
        <v>AI-001</v>
      </c>
      <c r="B5" s="74" t="str">
        <f>Syn_AI_Inventory!B5</f>
        <v>CV Screening Assistant</v>
      </c>
      <c r="C5" s="74" t="str">
        <f>IF(Syn_AI_Inventory!J5="N","Out of EU AI Act Scope",IF(Syn_AI_Inventory!K5="Y","Prohibited (Art.5)",IF(Syn_AI_Inventory!L5="Y","High-Risk (Annex I)",IF(AND(Syn_AI_Inventory!M5&lt;&gt;"None",OR(Syn_AI_Inventory!N5="Y",Syn_AI_Inventory!O5="N")),"High-Risk (Annex III)",IF(Syn_AI_Inventory!S5="Y",IF(Syn_AI_Inventory!T5&gt;=Config!$B$5,"GPAI with Systemic Risk","GPAI"),IF(OR(Syn_AI_Inventory!P5="Y",Syn_AI_Inventory!Q5="Y"),"Limited Risk (Art.50)","Minimal Risk"))))))</f>
        <v>High-Risk (Annex III)</v>
      </c>
      <c r="D5" s="74" t="str">
        <f>IF(Syn_AI_Inventory!J5="N","No",IF(OR(Syn_AI_Inventory!P5="Y",Syn_AI_Inventory!Q5="Y",Syn_AI_Inventory!R5="Y"),"Yes","No"))</f>
        <v>No</v>
      </c>
      <c r="E5" s="74">
        <f>ROUND(Config!$B$6*Syn_AI_Inventory!U5+Config!$B$7*Syn_AI_Inventory!V5+Config!$B$8*Syn_AI_Inventory!W5+Config!$B$9*Syn_AI_Inventory!X5,2)</f>
        <v>3.9</v>
      </c>
      <c r="F5" s="74" t="str">
        <f>INDEX(Config!$B$28:$B$31,MATCH(IF(INDEX(Config!$B$17:$B$24,MATCH(C5,Config!$A$17:$A$24,0))=0,0,MIN(INDEX(Config!$B$17:$B$24,MATCH(C5,Config!$A$17:$A$24,0)),IF(E5&gt;=Config!$B$10,1,IF(E5&gt;=Config!$B$11,2,3)))),Config!$A$28:$A$31,0))</f>
        <v>T1 - Critical</v>
      </c>
      <c r="G5" s="74" t="s">
        <v>742</v>
      </c>
      <c r="H5" s="77">
        <v>0.92</v>
      </c>
      <c r="I5" s="74" t="s">
        <v>1169</v>
      </c>
      <c r="J5" s="74" t="s">
        <v>742</v>
      </c>
      <c r="K5" s="74" t="s">
        <v>1170</v>
      </c>
      <c r="L5" s="84">
        <v>46281</v>
      </c>
      <c r="M5" s="74" t="str">
        <f t="shared" ref="M5:M34" si="0">IF(G5=J5,"Yes","No")</f>
        <v>Yes</v>
      </c>
      <c r="N5" s="74" t="str">
        <f t="shared" ref="N5:N34" si="1">IF(C5=J5,"Yes","No")</f>
        <v>Yes</v>
      </c>
      <c r="O5" s="74"/>
      <c r="P5" s="74" t="str">
        <f>IF(LEFT(Q5,2)="T0","Full review + Legal (T0)",IF(AND(G5=C5,H5&gt;=Config!$B$12,LEFT(F5,2)&lt;&gt;"T1"),"Fast-track (single reviewer)","Full review (2 reviewers)"))</f>
        <v>Full review (2 reviewers)</v>
      </c>
      <c r="Q5" s="74" t="str">
        <f>INDEX(Config!$B$28:$B$31,MATCH(IF(INDEX(Config!$B$17:$B$24,MATCH(J5,Config!$A$17:$A$24,0))=0,0,MIN(INDEX(Config!$B$17:$B$24,MATCH(J5,Config!$A$17:$A$24,0)),IF(E5&gt;=Config!$B$10,1,IF(E5&gt;=Config!$B$11,2,3)))),Config!$A$28:$A$31,0))</f>
        <v>T1 - Critical</v>
      </c>
    </row>
    <row r="6" spans="1:17" ht="26.4" x14ac:dyDescent="0.3">
      <c r="A6" s="74" t="str">
        <f>Syn_AI_Inventory!A6</f>
        <v>AI-002</v>
      </c>
      <c r="B6" s="74" t="str">
        <f>Syn_AI_Inventory!B6</f>
        <v>Retail Credit Scoring Model</v>
      </c>
      <c r="C6" s="74" t="str">
        <f>IF(Syn_AI_Inventory!J6="N","Out of EU AI Act Scope",IF(Syn_AI_Inventory!K6="Y","Prohibited (Art.5)",IF(Syn_AI_Inventory!L6="Y","High-Risk (Annex I)",IF(AND(Syn_AI_Inventory!M6&lt;&gt;"None",OR(Syn_AI_Inventory!N6="Y",Syn_AI_Inventory!O6="N")),"High-Risk (Annex III)",IF(Syn_AI_Inventory!S6="Y",IF(Syn_AI_Inventory!T6&gt;=Config!$B$5,"GPAI with Systemic Risk","GPAI"),IF(OR(Syn_AI_Inventory!P6="Y",Syn_AI_Inventory!Q6="Y"),"Limited Risk (Art.50)","Minimal Risk"))))))</f>
        <v>High-Risk (Annex III)</v>
      </c>
      <c r="D6" s="74" t="str">
        <f>IF(Syn_AI_Inventory!J6="N","No",IF(OR(Syn_AI_Inventory!P6="Y",Syn_AI_Inventory!Q6="Y",Syn_AI_Inventory!R6="Y"),"Yes","No"))</f>
        <v>No</v>
      </c>
      <c r="E6" s="74">
        <f>ROUND(Config!$B$6*Syn_AI_Inventory!U6+Config!$B$7*Syn_AI_Inventory!V6+Config!$B$8*Syn_AI_Inventory!W6+Config!$B$9*Syn_AI_Inventory!X6,2)</f>
        <v>4.9000000000000004</v>
      </c>
      <c r="F6" s="74" t="str">
        <f>INDEX(Config!$B$28:$B$31,MATCH(IF(INDEX(Config!$B$17:$B$24,MATCH(C6,Config!$A$17:$A$24,0))=0,0,MIN(INDEX(Config!$B$17:$B$24,MATCH(C6,Config!$A$17:$A$24,0)),IF(E6&gt;=Config!$B$10,1,IF(E6&gt;=Config!$B$11,2,3)))),Config!$A$28:$A$31,0))</f>
        <v>T1 - Critical</v>
      </c>
      <c r="G6" s="74" t="s">
        <v>742</v>
      </c>
      <c r="H6" s="77">
        <v>0.87</v>
      </c>
      <c r="I6" s="74" t="s">
        <v>1169</v>
      </c>
      <c r="J6" s="74" t="s">
        <v>742</v>
      </c>
      <c r="K6" s="74" t="s">
        <v>1170</v>
      </c>
      <c r="L6" s="84">
        <v>46276</v>
      </c>
      <c r="M6" s="74" t="str">
        <f t="shared" si="0"/>
        <v>Yes</v>
      </c>
      <c r="N6" s="74" t="str">
        <f t="shared" si="1"/>
        <v>Yes</v>
      </c>
      <c r="O6" s="74"/>
      <c r="P6" s="74" t="str">
        <f>IF(LEFT(Q6,2)="T0","Full review + Legal (T0)",IF(AND(G6=C6,H6&gt;=Config!$B$12,LEFT(F6,2)&lt;&gt;"T1"),"Fast-track (single reviewer)","Full review (2 reviewers)"))</f>
        <v>Full review (2 reviewers)</v>
      </c>
      <c r="Q6" s="74" t="str">
        <f>INDEX(Config!$B$28:$B$31,MATCH(IF(INDEX(Config!$B$17:$B$24,MATCH(J6,Config!$A$17:$A$24,0))=0,0,MIN(INDEX(Config!$B$17:$B$24,MATCH(J6,Config!$A$17:$A$24,0)),IF(E6&gt;=Config!$B$10,1,IF(E6&gt;=Config!$B$11,2,3)))),Config!$A$28:$A$31,0))</f>
        <v>T1 - Critical</v>
      </c>
    </row>
    <row r="7" spans="1:17" ht="26.4" x14ac:dyDescent="0.3">
      <c r="A7" s="74" t="str">
        <f>Syn_AI_Inventory!A7</f>
        <v>AI-003</v>
      </c>
      <c r="B7" s="74" t="str">
        <f>Syn_AI_Inventory!B7</f>
        <v>Aria Customer Service Chatbot</v>
      </c>
      <c r="C7" s="74" t="str">
        <f>IF(Syn_AI_Inventory!J7="N","Out of EU AI Act Scope",IF(Syn_AI_Inventory!K7="Y","Prohibited (Art.5)",IF(Syn_AI_Inventory!L7="Y","High-Risk (Annex I)",IF(AND(Syn_AI_Inventory!M7&lt;&gt;"None",OR(Syn_AI_Inventory!N7="Y",Syn_AI_Inventory!O7="N")),"High-Risk (Annex III)",IF(Syn_AI_Inventory!S7="Y",IF(Syn_AI_Inventory!T7&gt;=Config!$B$5,"GPAI with Systemic Risk","GPAI"),IF(OR(Syn_AI_Inventory!P7="Y",Syn_AI_Inventory!Q7="Y"),"Limited Risk (Art.50)","Minimal Risk"))))))</f>
        <v>Limited Risk (Art.50)</v>
      </c>
      <c r="D7" s="74" t="str">
        <f>IF(Syn_AI_Inventory!J7="N","No",IF(OR(Syn_AI_Inventory!P7="Y",Syn_AI_Inventory!Q7="Y",Syn_AI_Inventory!R7="Y"),"Yes","No"))</f>
        <v>Yes</v>
      </c>
      <c r="E7" s="74">
        <f>ROUND(Config!$B$6*Syn_AI_Inventory!U7+Config!$B$7*Syn_AI_Inventory!V7+Config!$B$8*Syn_AI_Inventory!W7+Config!$B$9*Syn_AI_Inventory!X7,2)</f>
        <v>3.7</v>
      </c>
      <c r="F7" s="74" t="str">
        <f>INDEX(Config!$B$28:$B$31,MATCH(IF(INDEX(Config!$B$17:$B$24,MATCH(C7,Config!$A$17:$A$24,0))=0,0,MIN(INDEX(Config!$B$17:$B$24,MATCH(C7,Config!$A$17:$A$24,0)),IF(E7&gt;=Config!$B$10,1,IF(E7&gt;=Config!$B$11,2,3)))),Config!$A$28:$A$31,0))</f>
        <v>T2 - Elevated</v>
      </c>
      <c r="G7" s="74" t="s">
        <v>756</v>
      </c>
      <c r="H7" s="77">
        <v>0.93</v>
      </c>
      <c r="I7" s="74" t="s">
        <v>1171</v>
      </c>
      <c r="J7" s="74" t="s">
        <v>756</v>
      </c>
      <c r="K7" s="74" t="s">
        <v>1172</v>
      </c>
      <c r="L7" s="84">
        <v>46275</v>
      </c>
      <c r="M7" s="74" t="str">
        <f t="shared" si="0"/>
        <v>Yes</v>
      </c>
      <c r="N7" s="74" t="str">
        <f t="shared" si="1"/>
        <v>Yes</v>
      </c>
      <c r="O7" s="74"/>
      <c r="P7" s="74" t="str">
        <f>IF(LEFT(Q7,2)="T0","Full review + Legal (T0)",IF(AND(G7=C7,H7&gt;=Config!$B$12,LEFT(F7,2)&lt;&gt;"T1"),"Fast-track (single reviewer)","Full review (2 reviewers)"))</f>
        <v>Fast-track (single reviewer)</v>
      </c>
      <c r="Q7" s="74" t="str">
        <f>INDEX(Config!$B$28:$B$31,MATCH(IF(INDEX(Config!$B$17:$B$24,MATCH(J7,Config!$A$17:$A$24,0))=0,0,MIN(INDEX(Config!$B$17:$B$24,MATCH(J7,Config!$A$17:$A$24,0)),IF(E7&gt;=Config!$B$10,1,IF(E7&gt;=Config!$B$11,2,3)))),Config!$A$28:$A$31,0))</f>
        <v>T2 - Elevated</v>
      </c>
    </row>
    <row r="8" spans="1:17" x14ac:dyDescent="0.3">
      <c r="A8" s="74" t="str">
        <f>Syn_AI_Inventory!A8</f>
        <v>AI-004</v>
      </c>
      <c r="B8" s="74" t="str">
        <f>Syn_AI_Inventory!B8</f>
        <v>Card Fraud Detection Engine</v>
      </c>
      <c r="C8" s="74" t="str">
        <f>IF(Syn_AI_Inventory!J8="N","Out of EU AI Act Scope",IF(Syn_AI_Inventory!K8="Y","Prohibited (Art.5)",IF(Syn_AI_Inventory!L8="Y","High-Risk (Annex I)",IF(AND(Syn_AI_Inventory!M8&lt;&gt;"None",OR(Syn_AI_Inventory!N8="Y",Syn_AI_Inventory!O8="N")),"High-Risk (Annex III)",IF(Syn_AI_Inventory!S8="Y",IF(Syn_AI_Inventory!T8&gt;=Config!$B$5,"GPAI with Systemic Risk","GPAI"),IF(OR(Syn_AI_Inventory!P8="Y",Syn_AI_Inventory!Q8="Y"),"Limited Risk (Art.50)","Minimal Risk"))))))</f>
        <v>Minimal Risk</v>
      </c>
      <c r="D8" s="74" t="str">
        <f>IF(Syn_AI_Inventory!J8="N","No",IF(OR(Syn_AI_Inventory!P8="Y",Syn_AI_Inventory!Q8="Y",Syn_AI_Inventory!R8="Y"),"Yes","No"))</f>
        <v>No</v>
      </c>
      <c r="E8" s="74">
        <f>ROUND(Config!$B$6*Syn_AI_Inventory!U8+Config!$B$7*Syn_AI_Inventory!V8+Config!$B$8*Syn_AI_Inventory!W8+Config!$B$9*Syn_AI_Inventory!X8,2)</f>
        <v>3.8</v>
      </c>
      <c r="F8" s="74" t="str">
        <f>INDEX(Config!$B$28:$B$31,MATCH(IF(INDEX(Config!$B$17:$B$24,MATCH(C8,Config!$A$17:$A$24,0))=0,0,MIN(INDEX(Config!$B$17:$B$24,MATCH(C8,Config!$A$17:$A$24,0)),IF(E8&gt;=Config!$B$10,1,IF(E8&gt;=Config!$B$11,2,3)))),Config!$A$28:$A$31,0))</f>
        <v>T2 - Elevated</v>
      </c>
      <c r="G8" s="74" t="s">
        <v>759</v>
      </c>
      <c r="H8" s="77">
        <v>0.92</v>
      </c>
      <c r="I8" s="74" t="s">
        <v>1173</v>
      </c>
      <c r="J8" s="74" t="s">
        <v>759</v>
      </c>
      <c r="K8" s="74" t="s">
        <v>1170</v>
      </c>
      <c r="L8" s="84">
        <v>46273</v>
      </c>
      <c r="M8" s="74" t="str">
        <f t="shared" si="0"/>
        <v>Yes</v>
      </c>
      <c r="N8" s="74" t="str">
        <f t="shared" si="1"/>
        <v>Yes</v>
      </c>
      <c r="O8" s="74"/>
      <c r="P8" s="74" t="str">
        <f>IF(LEFT(Q8,2)="T0","Full review + Legal (T0)",IF(AND(G8=C8,H8&gt;=Config!$B$12,LEFT(F8,2)&lt;&gt;"T1"),"Fast-track (single reviewer)","Full review (2 reviewers)"))</f>
        <v>Fast-track (single reviewer)</v>
      </c>
      <c r="Q8" s="74" t="str">
        <f>INDEX(Config!$B$28:$B$31,MATCH(IF(INDEX(Config!$B$17:$B$24,MATCH(J8,Config!$A$17:$A$24,0))=0,0,MIN(INDEX(Config!$B$17:$B$24,MATCH(J8,Config!$A$17:$A$24,0)),IF(E8&gt;=Config!$B$10,1,IF(E8&gt;=Config!$B$11,2,3)))),Config!$A$28:$A$31,0))</f>
        <v>T2 - Elevated</v>
      </c>
    </row>
    <row r="9" spans="1:17" ht="26.4" x14ac:dyDescent="0.3">
      <c r="A9" s="74" t="str">
        <f>Syn_AI_Inventory!A9</f>
        <v>AI-005</v>
      </c>
      <c r="B9" s="74" t="str">
        <f>Syn_AI_Inventory!B9</f>
        <v>Marketing Copy Generator</v>
      </c>
      <c r="C9" s="74" t="str">
        <f>IF(Syn_AI_Inventory!J9="N","Out of EU AI Act Scope",IF(Syn_AI_Inventory!K9="Y","Prohibited (Art.5)",IF(Syn_AI_Inventory!L9="Y","High-Risk (Annex I)",IF(AND(Syn_AI_Inventory!M9&lt;&gt;"None",OR(Syn_AI_Inventory!N9="Y",Syn_AI_Inventory!O9="N")),"High-Risk (Annex III)",IF(Syn_AI_Inventory!S9="Y",IF(Syn_AI_Inventory!T9&gt;=Config!$B$5,"GPAI with Systemic Risk","GPAI"),IF(OR(Syn_AI_Inventory!P9="Y",Syn_AI_Inventory!Q9="Y"),"Limited Risk (Art.50)","Minimal Risk"))))))</f>
        <v>Limited Risk (Art.50)</v>
      </c>
      <c r="D9" s="74" t="str">
        <f>IF(Syn_AI_Inventory!J9="N","No",IF(OR(Syn_AI_Inventory!P9="Y",Syn_AI_Inventory!Q9="Y",Syn_AI_Inventory!R9="Y"),"Yes","No"))</f>
        <v>Yes</v>
      </c>
      <c r="E9" s="74">
        <f>ROUND(Config!$B$6*Syn_AI_Inventory!U9+Config!$B$7*Syn_AI_Inventory!V9+Config!$B$8*Syn_AI_Inventory!W9+Config!$B$9*Syn_AI_Inventory!X9,2)</f>
        <v>2.2000000000000002</v>
      </c>
      <c r="F9" s="74" t="str">
        <f>INDEX(Config!$B$28:$B$31,MATCH(IF(INDEX(Config!$B$17:$B$24,MATCH(C9,Config!$A$17:$A$24,0))=0,0,MIN(INDEX(Config!$B$17:$B$24,MATCH(C9,Config!$A$17:$A$24,0)),IF(E9&gt;=Config!$B$10,1,IF(E9&gt;=Config!$B$11,2,3)))),Config!$A$28:$A$31,0))</f>
        <v>T2 - Elevated</v>
      </c>
      <c r="G9" s="74" t="s">
        <v>756</v>
      </c>
      <c r="H9" s="77">
        <v>0.85</v>
      </c>
      <c r="I9" s="74" t="s">
        <v>1171</v>
      </c>
      <c r="J9" s="74" t="s">
        <v>756</v>
      </c>
      <c r="K9" s="74" t="s">
        <v>1170</v>
      </c>
      <c r="L9" s="84">
        <v>46289</v>
      </c>
      <c r="M9" s="74" t="str">
        <f t="shared" si="0"/>
        <v>Yes</v>
      </c>
      <c r="N9" s="74" t="str">
        <f t="shared" si="1"/>
        <v>Yes</v>
      </c>
      <c r="O9" s="74"/>
      <c r="P9" s="74" t="str">
        <f>IF(LEFT(Q9,2)="T0","Full review + Legal (T0)",IF(AND(G9=C9,H9&gt;=Config!$B$12,LEFT(F9,2)&lt;&gt;"T1"),"Fast-track (single reviewer)","Full review (2 reviewers)"))</f>
        <v>Fast-track (single reviewer)</v>
      </c>
      <c r="Q9" s="74" t="str">
        <f>INDEX(Config!$B$28:$B$31,MATCH(IF(INDEX(Config!$B$17:$B$24,MATCH(J9,Config!$A$17:$A$24,0))=0,0,MIN(INDEX(Config!$B$17:$B$24,MATCH(J9,Config!$A$17:$A$24,0)),IF(E9&gt;=Config!$B$10,1,IF(E9&gt;=Config!$B$11,2,3)))),Config!$A$28:$A$31,0))</f>
        <v>T2 - Elevated</v>
      </c>
    </row>
    <row r="10" spans="1:17" ht="26.4" x14ac:dyDescent="0.3">
      <c r="A10" s="74" t="str">
        <f>Syn_AI_Inventory!A10</f>
        <v>AI-006</v>
      </c>
      <c r="B10" s="74" t="str">
        <f>Syn_AI_Inventory!B10</f>
        <v>Employee Performance Analytics</v>
      </c>
      <c r="C10" s="74" t="str">
        <f>IF(Syn_AI_Inventory!J10="N","Out of EU AI Act Scope",IF(Syn_AI_Inventory!K10="Y","Prohibited (Art.5)",IF(Syn_AI_Inventory!L10="Y","High-Risk (Annex I)",IF(AND(Syn_AI_Inventory!M10&lt;&gt;"None",OR(Syn_AI_Inventory!N10="Y",Syn_AI_Inventory!O10="N")),"High-Risk (Annex III)",IF(Syn_AI_Inventory!S10="Y",IF(Syn_AI_Inventory!T10&gt;=Config!$B$5,"GPAI with Systemic Risk","GPAI"),IF(OR(Syn_AI_Inventory!P10="Y",Syn_AI_Inventory!Q10="Y"),"Limited Risk (Art.50)","Minimal Risk"))))))</f>
        <v>High-Risk (Annex III)</v>
      </c>
      <c r="D10" s="74" t="str">
        <f>IF(Syn_AI_Inventory!J10="N","No",IF(OR(Syn_AI_Inventory!P10="Y",Syn_AI_Inventory!Q10="Y",Syn_AI_Inventory!R10="Y"),"Yes","No"))</f>
        <v>No</v>
      </c>
      <c r="E10" s="74">
        <f>ROUND(Config!$B$6*Syn_AI_Inventory!U10+Config!$B$7*Syn_AI_Inventory!V10+Config!$B$8*Syn_AI_Inventory!W10+Config!$B$9*Syn_AI_Inventory!X10,2)</f>
        <v>3.6</v>
      </c>
      <c r="F10" s="74" t="str">
        <f>INDEX(Config!$B$28:$B$31,MATCH(IF(INDEX(Config!$B$17:$B$24,MATCH(C10,Config!$A$17:$A$24,0))=0,0,MIN(INDEX(Config!$B$17:$B$24,MATCH(C10,Config!$A$17:$A$24,0)),IF(E10&gt;=Config!$B$10,1,IF(E10&gt;=Config!$B$11,2,3)))),Config!$A$28:$A$31,0))</f>
        <v>T1 - Critical</v>
      </c>
      <c r="G10" s="74" t="s">
        <v>756</v>
      </c>
      <c r="H10" s="77">
        <v>0.57999999999999996</v>
      </c>
      <c r="I10" s="74" t="s">
        <v>1174</v>
      </c>
      <c r="J10" s="74" t="s">
        <v>742</v>
      </c>
      <c r="K10" s="74" t="s">
        <v>1172</v>
      </c>
      <c r="L10" s="84">
        <v>46273</v>
      </c>
      <c r="M10" s="74" t="str">
        <f t="shared" si="0"/>
        <v>No</v>
      </c>
      <c r="N10" s="74" t="str">
        <f t="shared" si="1"/>
        <v>Yes</v>
      </c>
      <c r="O10" s="74" t="s">
        <v>1175</v>
      </c>
      <c r="P10" s="74" t="str">
        <f>IF(LEFT(Q10,2)="T0","Full review + Legal (T0)",IF(AND(G10=C10,H10&gt;=Config!$B$12,LEFT(F10,2)&lt;&gt;"T1"),"Fast-track (single reviewer)","Full review (2 reviewers)"))</f>
        <v>Full review (2 reviewers)</v>
      </c>
      <c r="Q10" s="74" t="str">
        <f>INDEX(Config!$B$28:$B$31,MATCH(IF(INDEX(Config!$B$17:$B$24,MATCH(J10,Config!$A$17:$A$24,0))=0,0,MIN(INDEX(Config!$B$17:$B$24,MATCH(J10,Config!$A$17:$A$24,0)),IF(E10&gt;=Config!$B$10,1,IF(E10&gt;=Config!$B$11,2,3)))),Config!$A$28:$A$31,0))</f>
        <v>T1 - Critical</v>
      </c>
    </row>
    <row r="11" spans="1:17" ht="26.4" x14ac:dyDescent="0.3">
      <c r="A11" s="74" t="str">
        <f>Syn_AI_Inventory!A11</f>
        <v>AI-007</v>
      </c>
      <c r="B11" s="74" t="str">
        <f>Syn_AI_Inventory!B11</f>
        <v>Life Insurance Pricing Model</v>
      </c>
      <c r="C11" s="74" t="str">
        <f>IF(Syn_AI_Inventory!J11="N","Out of EU AI Act Scope",IF(Syn_AI_Inventory!K11="Y","Prohibited (Art.5)",IF(Syn_AI_Inventory!L11="Y","High-Risk (Annex I)",IF(AND(Syn_AI_Inventory!M11&lt;&gt;"None",OR(Syn_AI_Inventory!N11="Y",Syn_AI_Inventory!O11="N")),"High-Risk (Annex III)",IF(Syn_AI_Inventory!S11="Y",IF(Syn_AI_Inventory!T11&gt;=Config!$B$5,"GPAI with Systemic Risk","GPAI"),IF(OR(Syn_AI_Inventory!P11="Y",Syn_AI_Inventory!Q11="Y"),"Limited Risk (Art.50)","Minimal Risk"))))))</f>
        <v>High-Risk (Annex III)</v>
      </c>
      <c r="D11" s="74" t="str">
        <f>IF(Syn_AI_Inventory!J11="N","No",IF(OR(Syn_AI_Inventory!P11="Y",Syn_AI_Inventory!Q11="Y",Syn_AI_Inventory!R11="Y"),"Yes","No"))</f>
        <v>No</v>
      </c>
      <c r="E11" s="74">
        <f>ROUND(Config!$B$6*Syn_AI_Inventory!U11+Config!$B$7*Syn_AI_Inventory!V11+Config!$B$8*Syn_AI_Inventory!W11+Config!$B$9*Syn_AI_Inventory!X11,2)</f>
        <v>4.7</v>
      </c>
      <c r="F11" s="74" t="str">
        <f>INDEX(Config!$B$28:$B$31,MATCH(IF(INDEX(Config!$B$17:$B$24,MATCH(C11,Config!$A$17:$A$24,0))=0,0,MIN(INDEX(Config!$B$17:$B$24,MATCH(C11,Config!$A$17:$A$24,0)),IF(E11&gt;=Config!$B$10,1,IF(E11&gt;=Config!$B$11,2,3)))),Config!$A$28:$A$31,0))</f>
        <v>T1 - Critical</v>
      </c>
      <c r="G11" s="74" t="s">
        <v>742</v>
      </c>
      <c r="H11" s="77">
        <v>0.91</v>
      </c>
      <c r="I11" s="74" t="s">
        <v>1169</v>
      </c>
      <c r="J11" s="74" t="s">
        <v>742</v>
      </c>
      <c r="K11" s="74" t="s">
        <v>1172</v>
      </c>
      <c r="L11" s="84">
        <v>46290</v>
      </c>
      <c r="M11" s="74" t="str">
        <f t="shared" si="0"/>
        <v>Yes</v>
      </c>
      <c r="N11" s="74" t="str">
        <f t="shared" si="1"/>
        <v>Yes</v>
      </c>
      <c r="O11" s="74"/>
      <c r="P11" s="74" t="str">
        <f>IF(LEFT(Q11,2)="T0","Full review + Legal (T0)",IF(AND(G11=C11,H11&gt;=Config!$B$12,LEFT(F11,2)&lt;&gt;"T1"),"Fast-track (single reviewer)","Full review (2 reviewers)"))</f>
        <v>Full review (2 reviewers)</v>
      </c>
      <c r="Q11" s="74" t="str">
        <f>INDEX(Config!$B$28:$B$31,MATCH(IF(INDEX(Config!$B$17:$B$24,MATCH(J11,Config!$A$17:$A$24,0))=0,0,MIN(INDEX(Config!$B$17:$B$24,MATCH(J11,Config!$A$17:$A$24,0)),IF(E11&gt;=Config!$B$10,1,IF(E11&gt;=Config!$B$11,2,3)))),Config!$A$28:$A$31,0))</f>
        <v>T1 - Critical</v>
      </c>
    </row>
    <row r="12" spans="1:17" x14ac:dyDescent="0.3">
      <c r="A12" s="74" t="str">
        <f>Syn_AI_Inventory!A12</f>
        <v>AI-008</v>
      </c>
      <c r="B12" s="74" t="str">
        <f>Syn_AI_Inventory!B12</f>
        <v>Claims Triage NLP</v>
      </c>
      <c r="C12" s="74" t="str">
        <f>IF(Syn_AI_Inventory!J12="N","Out of EU AI Act Scope",IF(Syn_AI_Inventory!K12="Y","Prohibited (Art.5)",IF(Syn_AI_Inventory!L12="Y","High-Risk (Annex I)",IF(AND(Syn_AI_Inventory!M12&lt;&gt;"None",OR(Syn_AI_Inventory!N12="Y",Syn_AI_Inventory!O12="N")),"High-Risk (Annex III)",IF(Syn_AI_Inventory!S12="Y",IF(Syn_AI_Inventory!T12&gt;=Config!$B$5,"GPAI with Systemic Risk","GPAI"),IF(OR(Syn_AI_Inventory!P12="Y",Syn_AI_Inventory!Q12="Y"),"Limited Risk (Art.50)","Minimal Risk"))))))</f>
        <v>Minimal Risk</v>
      </c>
      <c r="D12" s="74" t="str">
        <f>IF(Syn_AI_Inventory!J12="N","No",IF(OR(Syn_AI_Inventory!P12="Y",Syn_AI_Inventory!Q12="Y",Syn_AI_Inventory!R12="Y"),"Yes","No"))</f>
        <v>No</v>
      </c>
      <c r="E12" s="74">
        <f>ROUND(Config!$B$6*Syn_AI_Inventory!U12+Config!$B$7*Syn_AI_Inventory!V12+Config!$B$8*Syn_AI_Inventory!W12+Config!$B$9*Syn_AI_Inventory!X12,2)</f>
        <v>3.5</v>
      </c>
      <c r="F12" s="74" t="str">
        <f>INDEX(Config!$B$28:$B$31,MATCH(IF(INDEX(Config!$B$17:$B$24,MATCH(C12,Config!$A$17:$A$24,0))=0,0,MIN(INDEX(Config!$B$17:$B$24,MATCH(C12,Config!$A$17:$A$24,0)),IF(E12&gt;=Config!$B$10,1,IF(E12&gt;=Config!$B$11,2,3)))),Config!$A$28:$A$31,0))</f>
        <v>T2 - Elevated</v>
      </c>
      <c r="G12" s="74" t="s">
        <v>759</v>
      </c>
      <c r="H12" s="77">
        <v>0.89</v>
      </c>
      <c r="I12" s="74" t="s">
        <v>1173</v>
      </c>
      <c r="J12" s="74" t="s">
        <v>759</v>
      </c>
      <c r="K12" s="74" t="s">
        <v>1176</v>
      </c>
      <c r="L12" s="84">
        <v>46281</v>
      </c>
      <c r="M12" s="74" t="str">
        <f t="shared" si="0"/>
        <v>Yes</v>
      </c>
      <c r="N12" s="74" t="str">
        <f t="shared" si="1"/>
        <v>Yes</v>
      </c>
      <c r="O12" s="74"/>
      <c r="P12" s="74" t="str">
        <f>IF(LEFT(Q12,2)="T0","Full review + Legal (T0)",IF(AND(G12=C12,H12&gt;=Config!$B$12,LEFT(F12,2)&lt;&gt;"T1"),"Fast-track (single reviewer)","Full review (2 reviewers)"))</f>
        <v>Fast-track (single reviewer)</v>
      </c>
      <c r="Q12" s="74" t="str">
        <f>INDEX(Config!$B$28:$B$31,MATCH(IF(INDEX(Config!$B$17:$B$24,MATCH(J12,Config!$A$17:$A$24,0))=0,0,MIN(INDEX(Config!$B$17:$B$24,MATCH(J12,Config!$A$17:$A$24,0)),IF(E12&gt;=Config!$B$10,1,IF(E12&gt;=Config!$B$11,2,3)))),Config!$A$28:$A$31,0))</f>
        <v>T2 - Elevated</v>
      </c>
    </row>
    <row r="13" spans="1:17" ht="26.4" x14ac:dyDescent="0.3">
      <c r="A13" s="74" t="str">
        <f>Syn_AI_Inventory!A13</f>
        <v>AI-009</v>
      </c>
      <c r="B13" s="74" t="str">
        <f>Syn_AI_Inventory!B13</f>
        <v>Call-Centre Emotion Analytics</v>
      </c>
      <c r="C13" s="74" t="str">
        <f>IF(Syn_AI_Inventory!J13="N","Out of EU AI Act Scope",IF(Syn_AI_Inventory!K13="Y","Prohibited (Art.5)",IF(Syn_AI_Inventory!L13="Y","High-Risk (Annex I)",IF(AND(Syn_AI_Inventory!M13&lt;&gt;"None",OR(Syn_AI_Inventory!N13="Y",Syn_AI_Inventory!O13="N")),"High-Risk (Annex III)",IF(Syn_AI_Inventory!S13="Y",IF(Syn_AI_Inventory!T13&gt;=Config!$B$5,"GPAI with Systemic Risk","GPAI"),IF(OR(Syn_AI_Inventory!P13="Y",Syn_AI_Inventory!Q13="Y"),"Limited Risk (Art.50)","Minimal Risk"))))))</f>
        <v>Prohibited (Art.5)</v>
      </c>
      <c r="D13" s="74" t="str">
        <f>IF(Syn_AI_Inventory!J13="N","No",IF(OR(Syn_AI_Inventory!P13="Y",Syn_AI_Inventory!Q13="Y",Syn_AI_Inventory!R13="Y"),"Yes","No"))</f>
        <v>Yes</v>
      </c>
      <c r="E13" s="74">
        <f>ROUND(Config!$B$6*Syn_AI_Inventory!U13+Config!$B$7*Syn_AI_Inventory!V13+Config!$B$8*Syn_AI_Inventory!W13+Config!$B$9*Syn_AI_Inventory!X13,2)</f>
        <v>3.9</v>
      </c>
      <c r="F13" s="74" t="str">
        <f>INDEX(Config!$B$28:$B$31,MATCH(IF(INDEX(Config!$B$17:$B$24,MATCH(C13,Config!$A$17:$A$24,0))=0,0,MIN(INDEX(Config!$B$17:$B$24,MATCH(C13,Config!$A$17:$A$24,0)),IF(E13&gt;=Config!$B$10,1,IF(E13&gt;=Config!$B$11,2,3)))),Config!$A$28:$A$31,0))</f>
        <v>T0 - Stop</v>
      </c>
      <c r="G13" s="74" t="s">
        <v>705</v>
      </c>
      <c r="H13" s="77">
        <v>0.95</v>
      </c>
      <c r="I13" s="74" t="s">
        <v>1177</v>
      </c>
      <c r="J13" s="74" t="s">
        <v>705</v>
      </c>
      <c r="K13" s="74" t="s">
        <v>1170</v>
      </c>
      <c r="L13" s="84">
        <v>46278</v>
      </c>
      <c r="M13" s="74" t="str">
        <f t="shared" si="0"/>
        <v>Yes</v>
      </c>
      <c r="N13" s="74" t="str">
        <f t="shared" si="1"/>
        <v>Yes</v>
      </c>
      <c r="O13" s="74"/>
      <c r="P13" s="74" t="str">
        <f>IF(LEFT(Q13,2)="T0","Full review + Legal (T0)",IF(AND(G13=C13,H13&gt;=Config!$B$12,LEFT(F13,2)&lt;&gt;"T1"),"Fast-track (single reviewer)","Full review (2 reviewers)"))</f>
        <v>Full review + Legal (T0)</v>
      </c>
      <c r="Q13" s="74" t="str">
        <f>INDEX(Config!$B$28:$B$31,MATCH(IF(INDEX(Config!$B$17:$B$24,MATCH(J13,Config!$A$17:$A$24,0))=0,0,MIN(INDEX(Config!$B$17:$B$24,MATCH(J13,Config!$A$17:$A$24,0)),IF(E13&gt;=Config!$B$10,1,IF(E13&gt;=Config!$B$11,2,3)))),Config!$A$28:$A$31,0))</f>
        <v>T0 - Stop</v>
      </c>
    </row>
    <row r="14" spans="1:17" ht="26.4" x14ac:dyDescent="0.3">
      <c r="A14" s="74" t="str">
        <f>Syn_AI_Inventory!A14</f>
        <v>AI-010</v>
      </c>
      <c r="B14" s="74" t="str">
        <f>Syn_AI_Inventory!B14</f>
        <v>Store Camera Demographic Analytics (pilot)</v>
      </c>
      <c r="C14" s="74" t="str">
        <f>IF(Syn_AI_Inventory!J14="N","Out of EU AI Act Scope",IF(Syn_AI_Inventory!K14="Y","Prohibited (Art.5)",IF(Syn_AI_Inventory!L14="Y","High-Risk (Annex I)",IF(AND(Syn_AI_Inventory!M14&lt;&gt;"None",OR(Syn_AI_Inventory!N14="Y",Syn_AI_Inventory!O14="N")),"High-Risk (Annex III)",IF(Syn_AI_Inventory!S14="Y",IF(Syn_AI_Inventory!T14&gt;=Config!$B$5,"GPAI with Systemic Risk","GPAI"),IF(OR(Syn_AI_Inventory!P14="Y",Syn_AI_Inventory!Q14="Y"),"Limited Risk (Art.50)","Minimal Risk"))))))</f>
        <v>Prohibited (Art.5)</v>
      </c>
      <c r="D14" s="74" t="str">
        <f>IF(Syn_AI_Inventory!J14="N","No",IF(OR(Syn_AI_Inventory!P14="Y",Syn_AI_Inventory!Q14="Y",Syn_AI_Inventory!R14="Y"),"Yes","No"))</f>
        <v>Yes</v>
      </c>
      <c r="E14" s="74">
        <f>ROUND(Config!$B$6*Syn_AI_Inventory!U14+Config!$B$7*Syn_AI_Inventory!V14+Config!$B$8*Syn_AI_Inventory!W14+Config!$B$9*Syn_AI_Inventory!X14,2)</f>
        <v>3.9</v>
      </c>
      <c r="F14" s="74" t="str">
        <f>INDEX(Config!$B$28:$B$31,MATCH(IF(INDEX(Config!$B$17:$B$24,MATCH(C14,Config!$A$17:$A$24,0))=0,0,MIN(INDEX(Config!$B$17:$B$24,MATCH(C14,Config!$A$17:$A$24,0)),IF(E14&gt;=Config!$B$10,1,IF(E14&gt;=Config!$B$11,2,3)))),Config!$A$28:$A$31,0))</f>
        <v>T0 - Stop</v>
      </c>
      <c r="G14" s="74" t="s">
        <v>705</v>
      </c>
      <c r="H14" s="77">
        <v>0.93</v>
      </c>
      <c r="I14" s="74" t="s">
        <v>1177</v>
      </c>
      <c r="J14" s="74" t="s">
        <v>705</v>
      </c>
      <c r="K14" s="74" t="s">
        <v>1176</v>
      </c>
      <c r="L14" s="84">
        <v>46281</v>
      </c>
      <c r="M14" s="74" t="str">
        <f t="shared" si="0"/>
        <v>Yes</v>
      </c>
      <c r="N14" s="74" t="str">
        <f t="shared" si="1"/>
        <v>Yes</v>
      </c>
      <c r="O14" s="74"/>
      <c r="P14" s="74" t="str">
        <f>IF(LEFT(Q14,2)="T0","Full review + Legal (T0)",IF(AND(G14=C14,H14&gt;=Config!$B$12,LEFT(F14,2)&lt;&gt;"T1"),"Fast-track (single reviewer)","Full review (2 reviewers)"))</f>
        <v>Full review + Legal (T0)</v>
      </c>
      <c r="Q14" s="74" t="str">
        <f>INDEX(Config!$B$28:$B$31,MATCH(IF(INDEX(Config!$B$17:$B$24,MATCH(J14,Config!$A$17:$A$24,0))=0,0,MIN(INDEX(Config!$B$17:$B$24,MATCH(J14,Config!$A$17:$A$24,0)),IF(E14&gt;=Config!$B$10,1,IF(E14&gt;=Config!$B$11,2,3)))),Config!$A$28:$A$31,0))</f>
        <v>T0 - Stop</v>
      </c>
    </row>
    <row r="15" spans="1:17" ht="26.4" x14ac:dyDescent="0.3">
      <c r="A15" s="74" t="str">
        <f>Syn_AI_Inventory!A15</f>
        <v>AI-011</v>
      </c>
      <c r="B15" s="74" t="str">
        <f>Syn_AI_Inventory!B15</f>
        <v>Voice Cloning IVR</v>
      </c>
      <c r="C15" s="74" t="str">
        <f>IF(Syn_AI_Inventory!J15="N","Out of EU AI Act Scope",IF(Syn_AI_Inventory!K15="Y","Prohibited (Art.5)",IF(Syn_AI_Inventory!L15="Y","High-Risk (Annex I)",IF(AND(Syn_AI_Inventory!M15&lt;&gt;"None",OR(Syn_AI_Inventory!N15="Y",Syn_AI_Inventory!O15="N")),"High-Risk (Annex III)",IF(Syn_AI_Inventory!S15="Y",IF(Syn_AI_Inventory!T15&gt;=Config!$B$5,"GPAI with Systemic Risk","GPAI"),IF(OR(Syn_AI_Inventory!P15="Y",Syn_AI_Inventory!Q15="Y"),"Limited Risk (Art.50)","Minimal Risk"))))))</f>
        <v>Limited Risk (Art.50)</v>
      </c>
      <c r="D15" s="74" t="str">
        <f>IF(Syn_AI_Inventory!J15="N","No",IF(OR(Syn_AI_Inventory!P15="Y",Syn_AI_Inventory!Q15="Y",Syn_AI_Inventory!R15="Y"),"Yes","No"))</f>
        <v>Yes</v>
      </c>
      <c r="E15" s="74">
        <f>ROUND(Config!$B$6*Syn_AI_Inventory!U15+Config!$B$7*Syn_AI_Inventory!V15+Config!$B$8*Syn_AI_Inventory!W15+Config!$B$9*Syn_AI_Inventory!X15,2)</f>
        <v>2.8</v>
      </c>
      <c r="F15" s="74" t="str">
        <f>INDEX(Config!$B$28:$B$31,MATCH(IF(INDEX(Config!$B$17:$B$24,MATCH(C15,Config!$A$17:$A$24,0))=0,0,MIN(INDEX(Config!$B$17:$B$24,MATCH(C15,Config!$A$17:$A$24,0)),IF(E15&gt;=Config!$B$10,1,IF(E15&gt;=Config!$B$11,2,3)))),Config!$A$28:$A$31,0))</f>
        <v>T2 - Elevated</v>
      </c>
      <c r="G15" s="74" t="s">
        <v>756</v>
      </c>
      <c r="H15" s="77">
        <v>0.86</v>
      </c>
      <c r="I15" s="74" t="s">
        <v>1171</v>
      </c>
      <c r="J15" s="74" t="s">
        <v>756</v>
      </c>
      <c r="K15" s="74" t="s">
        <v>1176</v>
      </c>
      <c r="L15" s="84">
        <v>46276</v>
      </c>
      <c r="M15" s="74" t="str">
        <f t="shared" si="0"/>
        <v>Yes</v>
      </c>
      <c r="N15" s="74" t="str">
        <f t="shared" si="1"/>
        <v>Yes</v>
      </c>
      <c r="O15" s="74"/>
      <c r="P15" s="74" t="str">
        <f>IF(LEFT(Q15,2)="T0","Full review + Legal (T0)",IF(AND(G15=C15,H15&gt;=Config!$B$12,LEFT(F15,2)&lt;&gt;"T1"),"Fast-track (single reviewer)","Full review (2 reviewers)"))</f>
        <v>Fast-track (single reviewer)</v>
      </c>
      <c r="Q15" s="74" t="str">
        <f>INDEX(Config!$B$28:$B$31,MATCH(IF(INDEX(Config!$B$17:$B$24,MATCH(J15,Config!$A$17:$A$24,0))=0,0,MIN(INDEX(Config!$B$17:$B$24,MATCH(J15,Config!$A$17:$A$24,0)),IF(E15&gt;=Config!$B$10,1,IF(E15&gt;=Config!$B$11,2,3)))),Config!$A$28:$A$31,0))</f>
        <v>T2 - Elevated</v>
      </c>
    </row>
    <row r="16" spans="1:17" ht="26.4" x14ac:dyDescent="0.3">
      <c r="A16" s="74" t="str">
        <f>Syn_AI_Inventory!A16</f>
        <v>AI-012</v>
      </c>
      <c r="B16" s="74" t="str">
        <f>Syn_AI_Inventory!B16</f>
        <v>Internal Knowledge Assistant</v>
      </c>
      <c r="C16" s="74" t="str">
        <f>IF(Syn_AI_Inventory!J16="N","Out of EU AI Act Scope",IF(Syn_AI_Inventory!K16="Y","Prohibited (Art.5)",IF(Syn_AI_Inventory!L16="Y","High-Risk (Annex I)",IF(AND(Syn_AI_Inventory!M16&lt;&gt;"None",OR(Syn_AI_Inventory!N16="Y",Syn_AI_Inventory!O16="N")),"High-Risk (Annex III)",IF(Syn_AI_Inventory!S16="Y",IF(Syn_AI_Inventory!T16&gt;=Config!$B$5,"GPAI with Systemic Risk","GPAI"),IF(OR(Syn_AI_Inventory!P16="Y",Syn_AI_Inventory!Q16="Y"),"Limited Risk (Art.50)","Minimal Risk"))))))</f>
        <v>Limited Risk (Art.50)</v>
      </c>
      <c r="D16" s="74" t="str">
        <f>IF(Syn_AI_Inventory!J16="N","No",IF(OR(Syn_AI_Inventory!P16="Y",Syn_AI_Inventory!Q16="Y",Syn_AI_Inventory!R16="Y"),"Yes","No"))</f>
        <v>Yes</v>
      </c>
      <c r="E16" s="74">
        <f>ROUND(Config!$B$6*Syn_AI_Inventory!U16+Config!$B$7*Syn_AI_Inventory!V16+Config!$B$8*Syn_AI_Inventory!W16+Config!$B$9*Syn_AI_Inventory!X16,2)</f>
        <v>2.5</v>
      </c>
      <c r="F16" s="74" t="str">
        <f>INDEX(Config!$B$28:$B$31,MATCH(IF(INDEX(Config!$B$17:$B$24,MATCH(C16,Config!$A$17:$A$24,0))=0,0,MIN(INDEX(Config!$B$17:$B$24,MATCH(C16,Config!$A$17:$A$24,0)),IF(E16&gt;=Config!$B$10,1,IF(E16&gt;=Config!$B$11,2,3)))),Config!$A$28:$A$31,0))</f>
        <v>T2 - Elevated</v>
      </c>
      <c r="G16" s="74" t="s">
        <v>756</v>
      </c>
      <c r="H16" s="77">
        <v>0.85</v>
      </c>
      <c r="I16" s="74" t="s">
        <v>1171</v>
      </c>
      <c r="J16" s="74" t="s">
        <v>756</v>
      </c>
      <c r="K16" s="74" t="s">
        <v>1170</v>
      </c>
      <c r="L16" s="84">
        <v>46284</v>
      </c>
      <c r="M16" s="74" t="str">
        <f t="shared" si="0"/>
        <v>Yes</v>
      </c>
      <c r="N16" s="74" t="str">
        <f t="shared" si="1"/>
        <v>Yes</v>
      </c>
      <c r="O16" s="74"/>
      <c r="P16" s="74" t="str">
        <f>IF(LEFT(Q16,2)="T0","Full review + Legal (T0)",IF(AND(G16=C16,H16&gt;=Config!$B$12,LEFT(F16,2)&lt;&gt;"T1"),"Fast-track (single reviewer)","Full review (2 reviewers)"))</f>
        <v>Fast-track (single reviewer)</v>
      </c>
      <c r="Q16" s="74" t="str">
        <f>INDEX(Config!$B$28:$B$31,MATCH(IF(INDEX(Config!$B$17:$B$24,MATCH(J16,Config!$A$17:$A$24,0))=0,0,MIN(INDEX(Config!$B$17:$B$24,MATCH(J16,Config!$A$17:$A$24,0)),IF(E16&gt;=Config!$B$10,1,IF(E16&gt;=Config!$B$11,2,3)))),Config!$A$28:$A$31,0))</f>
        <v>T2 - Elevated</v>
      </c>
    </row>
    <row r="17" spans="1:17" ht="26.4" x14ac:dyDescent="0.3">
      <c r="A17" s="74" t="str">
        <f>Syn_AI_Inventory!A17</f>
        <v>AI-013</v>
      </c>
      <c r="B17" s="74" t="str">
        <f>Syn_AI_Inventory!B17</f>
        <v>NorthLM-70B Foundation Model</v>
      </c>
      <c r="C17" s="74" t="str">
        <f>IF(Syn_AI_Inventory!J17="N","Out of EU AI Act Scope",IF(Syn_AI_Inventory!K17="Y","Prohibited (Art.5)",IF(Syn_AI_Inventory!L17="Y","High-Risk (Annex I)",IF(AND(Syn_AI_Inventory!M17&lt;&gt;"None",OR(Syn_AI_Inventory!N17="Y",Syn_AI_Inventory!O17="N")),"High-Risk (Annex III)",IF(Syn_AI_Inventory!S17="Y",IF(Syn_AI_Inventory!T17&gt;=Config!$B$5,"GPAI with Systemic Risk","GPAI"),IF(OR(Syn_AI_Inventory!P17="Y",Syn_AI_Inventory!Q17="Y"),"Limited Risk (Art.50)","Minimal Risk"))))))</f>
        <v>GPAI</v>
      </c>
      <c r="D17" s="74" t="str">
        <f>IF(Syn_AI_Inventory!J17="N","No",IF(OR(Syn_AI_Inventory!P17="Y",Syn_AI_Inventory!Q17="Y",Syn_AI_Inventory!R17="Y"),"Yes","No"))</f>
        <v>No</v>
      </c>
      <c r="E17" s="74">
        <f>ROUND(Config!$B$6*Syn_AI_Inventory!U17+Config!$B$7*Syn_AI_Inventory!V17+Config!$B$8*Syn_AI_Inventory!W17+Config!$B$9*Syn_AI_Inventory!X17,2)</f>
        <v>3.3</v>
      </c>
      <c r="F17" s="74" t="str">
        <f>INDEX(Config!$B$28:$B$31,MATCH(IF(INDEX(Config!$B$17:$B$24,MATCH(C17,Config!$A$17:$A$24,0))=0,0,MIN(INDEX(Config!$B$17:$B$24,MATCH(C17,Config!$A$17:$A$24,0)),IF(E17&gt;=Config!$B$10,1,IF(E17&gt;=Config!$B$11,2,3)))),Config!$A$28:$A$31,0))</f>
        <v>T2 - Elevated</v>
      </c>
      <c r="G17" s="74" t="s">
        <v>342</v>
      </c>
      <c r="H17" s="77">
        <v>0.95</v>
      </c>
      <c r="I17" s="74" t="s">
        <v>1178</v>
      </c>
      <c r="J17" s="74" t="s">
        <v>342</v>
      </c>
      <c r="K17" s="74" t="s">
        <v>1172</v>
      </c>
      <c r="L17" s="84">
        <v>46281</v>
      </c>
      <c r="M17" s="74" t="str">
        <f t="shared" si="0"/>
        <v>Yes</v>
      </c>
      <c r="N17" s="74" t="str">
        <f t="shared" si="1"/>
        <v>Yes</v>
      </c>
      <c r="O17" s="74"/>
      <c r="P17" s="74" t="str">
        <f>IF(LEFT(Q17,2)="T0","Full review + Legal (T0)",IF(AND(G17=C17,H17&gt;=Config!$B$12,LEFT(F17,2)&lt;&gt;"T1"),"Fast-track (single reviewer)","Full review (2 reviewers)"))</f>
        <v>Fast-track (single reviewer)</v>
      </c>
      <c r="Q17" s="74" t="str">
        <f>INDEX(Config!$B$28:$B$31,MATCH(IF(INDEX(Config!$B$17:$B$24,MATCH(J17,Config!$A$17:$A$24,0))=0,0,MIN(INDEX(Config!$B$17:$B$24,MATCH(J17,Config!$A$17:$A$24,0)),IF(E17&gt;=Config!$B$10,1,IF(E17&gt;=Config!$B$11,2,3)))),Config!$A$28:$A$31,0))</f>
        <v>T2 - Elevated</v>
      </c>
    </row>
    <row r="18" spans="1:17" x14ac:dyDescent="0.3">
      <c r="A18" s="74" t="str">
        <f>Syn_AI_Inventory!A18</f>
        <v>AI-014</v>
      </c>
      <c r="B18" s="74" t="str">
        <f>Syn_AI_Inventory!B18</f>
        <v>Developer Code Assistant</v>
      </c>
      <c r="C18" s="74" t="str">
        <f>IF(Syn_AI_Inventory!J18="N","Out of EU AI Act Scope",IF(Syn_AI_Inventory!K18="Y","Prohibited (Art.5)",IF(Syn_AI_Inventory!L18="Y","High-Risk (Annex I)",IF(AND(Syn_AI_Inventory!M18&lt;&gt;"None",OR(Syn_AI_Inventory!N18="Y",Syn_AI_Inventory!O18="N")),"High-Risk (Annex III)",IF(Syn_AI_Inventory!S18="Y",IF(Syn_AI_Inventory!T18&gt;=Config!$B$5,"GPAI with Systemic Risk","GPAI"),IF(OR(Syn_AI_Inventory!P18="Y",Syn_AI_Inventory!Q18="Y"),"Limited Risk (Art.50)","Minimal Risk"))))))</f>
        <v>Minimal Risk</v>
      </c>
      <c r="D18" s="74" t="str">
        <f>IF(Syn_AI_Inventory!J18="N","No",IF(OR(Syn_AI_Inventory!P18="Y",Syn_AI_Inventory!Q18="Y",Syn_AI_Inventory!R18="Y"),"Yes","No"))</f>
        <v>No</v>
      </c>
      <c r="E18" s="74">
        <f>ROUND(Config!$B$6*Syn_AI_Inventory!U18+Config!$B$7*Syn_AI_Inventory!V18+Config!$B$8*Syn_AI_Inventory!W18+Config!$B$9*Syn_AI_Inventory!X18,2)</f>
        <v>1.6</v>
      </c>
      <c r="F18" s="74" t="str">
        <f>INDEX(Config!$B$28:$B$31,MATCH(IF(INDEX(Config!$B$17:$B$24,MATCH(C18,Config!$A$17:$A$24,0))=0,0,MIN(INDEX(Config!$B$17:$B$24,MATCH(C18,Config!$A$17:$A$24,0)),IF(E18&gt;=Config!$B$10,1,IF(E18&gt;=Config!$B$11,2,3)))),Config!$A$28:$A$31,0))</f>
        <v>T3 - Standard</v>
      </c>
      <c r="G18" s="74" t="s">
        <v>759</v>
      </c>
      <c r="H18" s="77">
        <v>0.88</v>
      </c>
      <c r="I18" s="74" t="s">
        <v>1173</v>
      </c>
      <c r="J18" s="74" t="s">
        <v>759</v>
      </c>
      <c r="K18" s="74" t="s">
        <v>1172</v>
      </c>
      <c r="L18" s="84">
        <v>46287</v>
      </c>
      <c r="M18" s="74" t="str">
        <f t="shared" si="0"/>
        <v>Yes</v>
      </c>
      <c r="N18" s="74" t="str">
        <f t="shared" si="1"/>
        <v>Yes</v>
      </c>
      <c r="O18" s="74"/>
      <c r="P18" s="74" t="str">
        <f>IF(LEFT(Q18,2)="T0","Full review + Legal (T0)",IF(AND(G18=C18,H18&gt;=Config!$B$12,LEFT(F18,2)&lt;&gt;"T1"),"Fast-track (single reviewer)","Full review (2 reviewers)"))</f>
        <v>Fast-track (single reviewer)</v>
      </c>
      <c r="Q18" s="74" t="str">
        <f>INDEX(Config!$B$28:$B$31,MATCH(IF(INDEX(Config!$B$17:$B$24,MATCH(J18,Config!$A$17:$A$24,0))=0,0,MIN(INDEX(Config!$B$17:$B$24,MATCH(J18,Config!$A$17:$A$24,0)),IF(E18&gt;=Config!$B$10,1,IF(E18&gt;=Config!$B$11,2,3)))),Config!$A$28:$A$31,0))</f>
        <v>T3 - Standard</v>
      </c>
    </row>
    <row r="19" spans="1:17" x14ac:dyDescent="0.3">
      <c r="A19" s="74" t="str">
        <f>Syn_AI_Inventory!A19</f>
        <v>AI-015</v>
      </c>
      <c r="B19" s="74" t="str">
        <f>Syn_AI_Inventory!B19</f>
        <v>Trading Anomaly Detection</v>
      </c>
      <c r="C19" s="74" t="str">
        <f>IF(Syn_AI_Inventory!J19="N","Out of EU AI Act Scope",IF(Syn_AI_Inventory!K19="Y","Prohibited (Art.5)",IF(Syn_AI_Inventory!L19="Y","High-Risk (Annex I)",IF(AND(Syn_AI_Inventory!M19&lt;&gt;"None",OR(Syn_AI_Inventory!N19="Y",Syn_AI_Inventory!O19="N")),"High-Risk (Annex III)",IF(Syn_AI_Inventory!S19="Y",IF(Syn_AI_Inventory!T19&gt;=Config!$B$5,"GPAI with Systemic Risk","GPAI"),IF(OR(Syn_AI_Inventory!P19="Y",Syn_AI_Inventory!Q19="Y"),"Limited Risk (Art.50)","Minimal Risk"))))))</f>
        <v>Minimal Risk</v>
      </c>
      <c r="D19" s="74" t="str">
        <f>IF(Syn_AI_Inventory!J19="N","No",IF(OR(Syn_AI_Inventory!P19="Y",Syn_AI_Inventory!Q19="Y",Syn_AI_Inventory!R19="Y"),"Yes","No"))</f>
        <v>No</v>
      </c>
      <c r="E19" s="74">
        <f>ROUND(Config!$B$6*Syn_AI_Inventory!U19+Config!$B$7*Syn_AI_Inventory!V19+Config!$B$8*Syn_AI_Inventory!W19+Config!$B$9*Syn_AI_Inventory!X19,2)</f>
        <v>2.8</v>
      </c>
      <c r="F19" s="74" t="str">
        <f>INDEX(Config!$B$28:$B$31,MATCH(IF(INDEX(Config!$B$17:$B$24,MATCH(C19,Config!$A$17:$A$24,0))=0,0,MIN(INDEX(Config!$B$17:$B$24,MATCH(C19,Config!$A$17:$A$24,0)),IF(E19&gt;=Config!$B$10,1,IF(E19&gt;=Config!$B$11,2,3)))),Config!$A$28:$A$31,0))</f>
        <v>T3 - Standard</v>
      </c>
      <c r="G19" s="74" t="s">
        <v>759</v>
      </c>
      <c r="H19" s="77">
        <v>0.91</v>
      </c>
      <c r="I19" s="74" t="s">
        <v>1173</v>
      </c>
      <c r="J19" s="74" t="s">
        <v>759</v>
      </c>
      <c r="K19" s="74" t="s">
        <v>1176</v>
      </c>
      <c r="L19" s="84">
        <v>46275</v>
      </c>
      <c r="M19" s="74" t="str">
        <f t="shared" si="0"/>
        <v>Yes</v>
      </c>
      <c r="N19" s="74" t="str">
        <f t="shared" si="1"/>
        <v>Yes</v>
      </c>
      <c r="O19" s="74"/>
      <c r="P19" s="74" t="str">
        <f>IF(LEFT(Q19,2)="T0","Full review + Legal (T0)",IF(AND(G19=C19,H19&gt;=Config!$B$12,LEFT(F19,2)&lt;&gt;"T1"),"Fast-track (single reviewer)","Full review (2 reviewers)"))</f>
        <v>Fast-track (single reviewer)</v>
      </c>
      <c r="Q19" s="74" t="str">
        <f>INDEX(Config!$B$28:$B$31,MATCH(IF(INDEX(Config!$B$17:$B$24,MATCH(J19,Config!$A$17:$A$24,0))=0,0,MIN(INDEX(Config!$B$17:$B$24,MATCH(J19,Config!$A$17:$A$24,0)),IF(E19&gt;=Config!$B$10,1,IF(E19&gt;=Config!$B$11,2,3)))),Config!$A$28:$A$31,0))</f>
        <v>T3 - Standard</v>
      </c>
    </row>
    <row r="20" spans="1:17" ht="26.4" x14ac:dyDescent="0.3">
      <c r="A20" s="74" t="str">
        <f>Syn_AI_Inventory!A20</f>
        <v>AI-016</v>
      </c>
      <c r="B20" s="74" t="str">
        <f>Syn_AI_Inventory!B20</f>
        <v>APAC Branch Credit Pre-Screen (Singapore only)</v>
      </c>
      <c r="C20" s="74" t="str">
        <f>IF(Syn_AI_Inventory!J20="N","Out of EU AI Act Scope",IF(Syn_AI_Inventory!K20="Y","Prohibited (Art.5)",IF(Syn_AI_Inventory!L20="Y","High-Risk (Annex I)",IF(AND(Syn_AI_Inventory!M20&lt;&gt;"None",OR(Syn_AI_Inventory!N20="Y",Syn_AI_Inventory!O20="N")),"High-Risk (Annex III)",IF(Syn_AI_Inventory!S20="Y",IF(Syn_AI_Inventory!T20&gt;=Config!$B$5,"GPAI with Systemic Risk","GPAI"),IF(OR(Syn_AI_Inventory!P20="Y",Syn_AI_Inventory!Q20="Y"),"Limited Risk (Art.50)","Minimal Risk"))))))</f>
        <v>Out of EU AI Act Scope</v>
      </c>
      <c r="D20" s="74" t="str">
        <f>IF(Syn_AI_Inventory!J20="N","No",IF(OR(Syn_AI_Inventory!P20="Y",Syn_AI_Inventory!Q20="Y",Syn_AI_Inventory!R20="Y"),"Yes","No"))</f>
        <v>No</v>
      </c>
      <c r="E20" s="74">
        <f>ROUND(Config!$B$6*Syn_AI_Inventory!U20+Config!$B$7*Syn_AI_Inventory!V20+Config!$B$8*Syn_AI_Inventory!W20+Config!$B$9*Syn_AI_Inventory!X20,2)</f>
        <v>4</v>
      </c>
      <c r="F20" s="74" t="str">
        <f>INDEX(Config!$B$28:$B$31,MATCH(IF(INDEX(Config!$B$17:$B$24,MATCH(C20,Config!$A$17:$A$24,0))=0,0,MIN(INDEX(Config!$B$17:$B$24,MATCH(C20,Config!$A$17:$A$24,0)),IF(E20&gt;=Config!$B$10,1,IF(E20&gt;=Config!$B$11,2,3)))),Config!$A$28:$A$31,0))</f>
        <v>T1 - Critical</v>
      </c>
      <c r="G20" s="74" t="s">
        <v>763</v>
      </c>
      <c r="H20" s="77">
        <v>0.91</v>
      </c>
      <c r="I20" s="74" t="s">
        <v>1179</v>
      </c>
      <c r="J20" s="74" t="s">
        <v>763</v>
      </c>
      <c r="K20" s="74" t="s">
        <v>1172</v>
      </c>
      <c r="L20" s="84">
        <v>46284</v>
      </c>
      <c r="M20" s="74" t="str">
        <f t="shared" si="0"/>
        <v>Yes</v>
      </c>
      <c r="N20" s="74" t="str">
        <f t="shared" si="1"/>
        <v>Yes</v>
      </c>
      <c r="O20" s="74"/>
      <c r="P20" s="74" t="str">
        <f>IF(LEFT(Q20,2)="T0","Full review + Legal (T0)",IF(AND(G20=C20,H20&gt;=Config!$B$12,LEFT(F20,2)&lt;&gt;"T1"),"Fast-track (single reviewer)","Full review (2 reviewers)"))</f>
        <v>Full review (2 reviewers)</v>
      </c>
      <c r="Q20" s="74" t="str">
        <f>INDEX(Config!$B$28:$B$31,MATCH(IF(INDEX(Config!$B$17:$B$24,MATCH(J20,Config!$A$17:$A$24,0))=0,0,MIN(INDEX(Config!$B$17:$B$24,MATCH(J20,Config!$A$17:$A$24,0)),IF(E20&gt;=Config!$B$10,1,IF(E20&gt;=Config!$B$11,2,3)))),Config!$A$28:$A$31,0))</f>
        <v>T1 - Critical</v>
      </c>
    </row>
    <row r="21" spans="1:17" ht="39.6" x14ac:dyDescent="0.3">
      <c r="A21" s="74" t="str">
        <f>Syn_AI_Inventory!A21</f>
        <v>AI-017</v>
      </c>
      <c r="B21" s="74" t="str">
        <f>Syn_AI_Inventory!B21</f>
        <v>Loan Document OCR &amp; Extraction</v>
      </c>
      <c r="C21" s="74" t="str">
        <f>IF(Syn_AI_Inventory!J21="N","Out of EU AI Act Scope",IF(Syn_AI_Inventory!K21="Y","Prohibited (Art.5)",IF(Syn_AI_Inventory!L21="Y","High-Risk (Annex I)",IF(AND(Syn_AI_Inventory!M21&lt;&gt;"None",OR(Syn_AI_Inventory!N21="Y",Syn_AI_Inventory!O21="N")),"High-Risk (Annex III)",IF(Syn_AI_Inventory!S21="Y",IF(Syn_AI_Inventory!T21&gt;=Config!$B$5,"GPAI with Systemic Risk","GPAI"),IF(OR(Syn_AI_Inventory!P21="Y",Syn_AI_Inventory!Q21="Y"),"Limited Risk (Art.50)","Minimal Risk"))))))</f>
        <v>Minimal Risk</v>
      </c>
      <c r="D21" s="74" t="str">
        <f>IF(Syn_AI_Inventory!J21="N","No",IF(OR(Syn_AI_Inventory!P21="Y",Syn_AI_Inventory!Q21="Y",Syn_AI_Inventory!R21="Y"),"Yes","No"))</f>
        <v>No</v>
      </c>
      <c r="E21" s="74">
        <f>ROUND(Config!$B$6*Syn_AI_Inventory!U21+Config!$B$7*Syn_AI_Inventory!V21+Config!$B$8*Syn_AI_Inventory!W21+Config!$B$9*Syn_AI_Inventory!X21,2)</f>
        <v>3.1</v>
      </c>
      <c r="F21" s="74" t="str">
        <f>INDEX(Config!$B$28:$B$31,MATCH(IF(INDEX(Config!$B$17:$B$24,MATCH(C21,Config!$A$17:$A$24,0))=0,0,MIN(INDEX(Config!$B$17:$B$24,MATCH(C21,Config!$A$17:$A$24,0)),IF(E21&gt;=Config!$B$10,1,IF(E21&gt;=Config!$B$11,2,3)))),Config!$A$28:$A$31,0))</f>
        <v>T2 - Elevated</v>
      </c>
      <c r="G21" s="74" t="s">
        <v>742</v>
      </c>
      <c r="H21" s="77">
        <v>0.62</v>
      </c>
      <c r="I21" s="74" t="s">
        <v>1180</v>
      </c>
      <c r="J21" s="74" t="s">
        <v>759</v>
      </c>
      <c r="K21" s="74" t="s">
        <v>1170</v>
      </c>
      <c r="L21" s="84">
        <v>46279</v>
      </c>
      <c r="M21" s="74" t="str">
        <f t="shared" si="0"/>
        <v>No</v>
      </c>
      <c r="N21" s="74" t="str">
        <f t="shared" si="1"/>
        <v>Yes</v>
      </c>
      <c r="O21" s="74" t="s">
        <v>1181</v>
      </c>
      <c r="P21" s="74" t="str">
        <f>IF(LEFT(Q21,2)="T0","Full review + Legal (T0)",IF(AND(G21=C21,H21&gt;=Config!$B$12,LEFT(F21,2)&lt;&gt;"T1"),"Fast-track (single reviewer)","Full review (2 reviewers)"))</f>
        <v>Full review (2 reviewers)</v>
      </c>
      <c r="Q21" s="74" t="str">
        <f>INDEX(Config!$B$28:$B$31,MATCH(IF(INDEX(Config!$B$17:$B$24,MATCH(J21,Config!$A$17:$A$24,0))=0,0,MIN(INDEX(Config!$B$17:$B$24,MATCH(J21,Config!$A$17:$A$24,0)),IF(E21&gt;=Config!$B$10,1,IF(E21&gt;=Config!$B$11,2,3)))),Config!$A$28:$A$31,0))</f>
        <v>T2 - Elevated</v>
      </c>
    </row>
    <row r="22" spans="1:17" ht="26.4" x14ac:dyDescent="0.3">
      <c r="A22" s="74" t="str">
        <f>Syn_AI_Inventory!A22</f>
        <v>AI-018</v>
      </c>
      <c r="B22" s="74" t="str">
        <f>Syn_AI_Inventory!B22</f>
        <v>Shift Scheduling Optimiser</v>
      </c>
      <c r="C22" s="74" t="str">
        <f>IF(Syn_AI_Inventory!J22="N","Out of EU AI Act Scope",IF(Syn_AI_Inventory!K22="Y","Prohibited (Art.5)",IF(Syn_AI_Inventory!L22="Y","High-Risk (Annex I)",IF(AND(Syn_AI_Inventory!M22&lt;&gt;"None",OR(Syn_AI_Inventory!N22="Y",Syn_AI_Inventory!O22="N")),"High-Risk (Annex III)",IF(Syn_AI_Inventory!S22="Y",IF(Syn_AI_Inventory!T22&gt;=Config!$B$5,"GPAI with Systemic Risk","GPAI"),IF(OR(Syn_AI_Inventory!P22="Y",Syn_AI_Inventory!Q22="Y"),"Limited Risk (Art.50)","Minimal Risk"))))))</f>
        <v>High-Risk (Annex III)</v>
      </c>
      <c r="D22" s="74" t="str">
        <f>IF(Syn_AI_Inventory!J22="N","No",IF(OR(Syn_AI_Inventory!P22="Y",Syn_AI_Inventory!Q22="Y",Syn_AI_Inventory!R22="Y"),"Yes","No"))</f>
        <v>No</v>
      </c>
      <c r="E22" s="74">
        <f>ROUND(Config!$B$6*Syn_AI_Inventory!U22+Config!$B$7*Syn_AI_Inventory!V22+Config!$B$8*Syn_AI_Inventory!W22+Config!$B$9*Syn_AI_Inventory!X22,2)</f>
        <v>3</v>
      </c>
      <c r="F22" s="74" t="str">
        <f>INDEX(Config!$B$28:$B$31,MATCH(IF(INDEX(Config!$B$17:$B$24,MATCH(C22,Config!$A$17:$A$24,0))=0,0,MIN(INDEX(Config!$B$17:$B$24,MATCH(C22,Config!$A$17:$A$24,0)),IF(E22&gt;=Config!$B$10,1,IF(E22&gt;=Config!$B$11,2,3)))),Config!$A$28:$A$31,0))</f>
        <v>T1 - Critical</v>
      </c>
      <c r="G22" s="74" t="s">
        <v>742</v>
      </c>
      <c r="H22" s="77">
        <v>0.93</v>
      </c>
      <c r="I22" s="74" t="s">
        <v>1169</v>
      </c>
      <c r="J22" s="74" t="s">
        <v>742</v>
      </c>
      <c r="K22" s="74" t="s">
        <v>1170</v>
      </c>
      <c r="L22" s="84">
        <v>46280</v>
      </c>
      <c r="M22" s="74" t="str">
        <f t="shared" si="0"/>
        <v>Yes</v>
      </c>
      <c r="N22" s="74" t="str">
        <f t="shared" si="1"/>
        <v>Yes</v>
      </c>
      <c r="O22" s="74"/>
      <c r="P22" s="74" t="str">
        <f>IF(LEFT(Q22,2)="T0","Full review + Legal (T0)",IF(AND(G22=C22,H22&gt;=Config!$B$12,LEFT(F22,2)&lt;&gt;"T1"),"Fast-track (single reviewer)","Full review (2 reviewers)"))</f>
        <v>Full review (2 reviewers)</v>
      </c>
      <c r="Q22" s="74" t="str">
        <f>INDEX(Config!$B$28:$B$31,MATCH(IF(INDEX(Config!$B$17:$B$24,MATCH(J22,Config!$A$17:$A$24,0))=0,0,MIN(INDEX(Config!$B$17:$B$24,MATCH(J22,Config!$A$17:$A$24,0)),IF(E22&gt;=Config!$B$10,1,IF(E22&gt;=Config!$B$11,2,3)))),Config!$A$28:$A$31,0))</f>
        <v>T1 - Critical</v>
      </c>
    </row>
    <row r="23" spans="1:17" x14ac:dyDescent="0.3">
      <c r="A23" s="74" t="str">
        <f>Syn_AI_Inventory!A23</f>
        <v>AI-019</v>
      </c>
      <c r="B23" s="74" t="str">
        <f>Syn_AI_Inventory!B23</f>
        <v>Facility Energy Optimiser</v>
      </c>
      <c r="C23" s="74" t="str">
        <f>IF(Syn_AI_Inventory!J23="N","Out of EU AI Act Scope",IF(Syn_AI_Inventory!K23="Y","Prohibited (Art.5)",IF(Syn_AI_Inventory!L23="Y","High-Risk (Annex I)",IF(AND(Syn_AI_Inventory!M23&lt;&gt;"None",OR(Syn_AI_Inventory!N23="Y",Syn_AI_Inventory!O23="N")),"High-Risk (Annex III)",IF(Syn_AI_Inventory!S23="Y",IF(Syn_AI_Inventory!T23&gt;=Config!$B$5,"GPAI with Systemic Risk","GPAI"),IF(OR(Syn_AI_Inventory!P23="Y",Syn_AI_Inventory!Q23="Y"),"Limited Risk (Art.50)","Minimal Risk"))))))</f>
        <v>Minimal Risk</v>
      </c>
      <c r="D23" s="74" t="str">
        <f>IF(Syn_AI_Inventory!J23="N","No",IF(OR(Syn_AI_Inventory!P23="Y",Syn_AI_Inventory!Q23="Y",Syn_AI_Inventory!R23="Y"),"Yes","No"))</f>
        <v>No</v>
      </c>
      <c r="E23" s="74">
        <f>ROUND(Config!$B$6*Syn_AI_Inventory!U23+Config!$B$7*Syn_AI_Inventory!V23+Config!$B$8*Syn_AI_Inventory!W23+Config!$B$9*Syn_AI_Inventory!X23,2)</f>
        <v>1.5</v>
      </c>
      <c r="F23" s="74" t="str">
        <f>INDEX(Config!$B$28:$B$31,MATCH(IF(INDEX(Config!$B$17:$B$24,MATCH(C23,Config!$A$17:$A$24,0))=0,0,MIN(INDEX(Config!$B$17:$B$24,MATCH(C23,Config!$A$17:$A$24,0)),IF(E23&gt;=Config!$B$10,1,IF(E23&gt;=Config!$B$11,2,3)))),Config!$A$28:$A$31,0))</f>
        <v>T3 - Standard</v>
      </c>
      <c r="G23" s="74" t="s">
        <v>759</v>
      </c>
      <c r="H23" s="77">
        <v>0.94</v>
      </c>
      <c r="I23" s="74" t="s">
        <v>1173</v>
      </c>
      <c r="J23" s="74" t="s">
        <v>759</v>
      </c>
      <c r="K23" s="74" t="s">
        <v>1170</v>
      </c>
      <c r="L23" s="84">
        <v>46280</v>
      </c>
      <c r="M23" s="74" t="str">
        <f t="shared" si="0"/>
        <v>Yes</v>
      </c>
      <c r="N23" s="74" t="str">
        <f t="shared" si="1"/>
        <v>Yes</v>
      </c>
      <c r="O23" s="74"/>
      <c r="P23" s="74" t="str">
        <f>IF(LEFT(Q23,2)="T0","Full review + Legal (T0)",IF(AND(G23=C23,H23&gt;=Config!$B$12,LEFT(F23,2)&lt;&gt;"T1"),"Fast-track (single reviewer)","Full review (2 reviewers)"))</f>
        <v>Fast-track (single reviewer)</v>
      </c>
      <c r="Q23" s="74" t="str">
        <f>INDEX(Config!$B$28:$B$31,MATCH(IF(INDEX(Config!$B$17:$B$24,MATCH(J23,Config!$A$17:$A$24,0))=0,0,MIN(INDEX(Config!$B$17:$B$24,MATCH(J23,Config!$A$17:$A$24,0)),IF(E23&gt;=Config!$B$10,1,IF(E23&gt;=Config!$B$11,2,3)))),Config!$A$28:$A$31,0))</f>
        <v>T3 - Standard</v>
      </c>
    </row>
    <row r="24" spans="1:17" ht="26.4" x14ac:dyDescent="0.3">
      <c r="A24" s="74" t="str">
        <f>Syn_AI_Inventory!A24</f>
        <v>AI-020</v>
      </c>
      <c r="B24" s="74" t="str">
        <f>Syn_AI_Inventory!B24</f>
        <v>Graduate Programme Admissions Ranker</v>
      </c>
      <c r="C24" s="74" t="str">
        <f>IF(Syn_AI_Inventory!J24="N","Out of EU AI Act Scope",IF(Syn_AI_Inventory!K24="Y","Prohibited (Art.5)",IF(Syn_AI_Inventory!L24="Y","High-Risk (Annex I)",IF(AND(Syn_AI_Inventory!M24&lt;&gt;"None",OR(Syn_AI_Inventory!N24="Y",Syn_AI_Inventory!O24="N")),"High-Risk (Annex III)",IF(Syn_AI_Inventory!S24="Y",IF(Syn_AI_Inventory!T24&gt;=Config!$B$5,"GPAI with Systemic Risk","GPAI"),IF(OR(Syn_AI_Inventory!P24="Y",Syn_AI_Inventory!Q24="Y"),"Limited Risk (Art.50)","Minimal Risk"))))))</f>
        <v>High-Risk (Annex III)</v>
      </c>
      <c r="D24" s="74" t="str">
        <f>IF(Syn_AI_Inventory!J24="N","No",IF(OR(Syn_AI_Inventory!P24="Y",Syn_AI_Inventory!Q24="Y",Syn_AI_Inventory!R24="Y"),"Yes","No"))</f>
        <v>No</v>
      </c>
      <c r="E24" s="74">
        <f>ROUND(Config!$B$6*Syn_AI_Inventory!U24+Config!$B$7*Syn_AI_Inventory!V24+Config!$B$8*Syn_AI_Inventory!W24+Config!$B$9*Syn_AI_Inventory!X24,2)</f>
        <v>3.4</v>
      </c>
      <c r="F24" s="74" t="str">
        <f>INDEX(Config!$B$28:$B$31,MATCH(IF(INDEX(Config!$B$17:$B$24,MATCH(C24,Config!$A$17:$A$24,0))=0,0,MIN(INDEX(Config!$B$17:$B$24,MATCH(C24,Config!$A$17:$A$24,0)),IF(E24&gt;=Config!$B$10,1,IF(E24&gt;=Config!$B$11,2,3)))),Config!$A$28:$A$31,0))</f>
        <v>T1 - Critical</v>
      </c>
      <c r="G24" s="74" t="s">
        <v>742</v>
      </c>
      <c r="H24" s="77">
        <v>0.95</v>
      </c>
      <c r="I24" s="74" t="s">
        <v>1169</v>
      </c>
      <c r="J24" s="74" t="s">
        <v>742</v>
      </c>
      <c r="K24" s="74" t="s">
        <v>1176</v>
      </c>
      <c r="L24" s="84">
        <v>46281</v>
      </c>
      <c r="M24" s="74" t="str">
        <f t="shared" si="0"/>
        <v>Yes</v>
      </c>
      <c r="N24" s="74" t="str">
        <f t="shared" si="1"/>
        <v>Yes</v>
      </c>
      <c r="O24" s="74"/>
      <c r="P24" s="74" t="str">
        <f>IF(LEFT(Q24,2)="T0","Full review + Legal (T0)",IF(AND(G24=C24,H24&gt;=Config!$B$12,LEFT(F24,2)&lt;&gt;"T1"),"Fast-track (single reviewer)","Full review (2 reviewers)"))</f>
        <v>Full review (2 reviewers)</v>
      </c>
      <c r="Q24" s="74" t="str">
        <f>INDEX(Config!$B$28:$B$31,MATCH(IF(INDEX(Config!$B$17:$B$24,MATCH(J24,Config!$A$17:$A$24,0))=0,0,MIN(INDEX(Config!$B$17:$B$24,MATCH(J24,Config!$A$17:$A$24,0)),IF(E24&gt;=Config!$B$10,1,IF(E24&gt;=Config!$B$11,2,3)))),Config!$A$28:$A$31,0))</f>
        <v>T1 - Critical</v>
      </c>
    </row>
    <row r="25" spans="1:17" ht="26.4" x14ac:dyDescent="0.3">
      <c r="A25" s="74" t="str">
        <f>Syn_AI_Inventory!A25</f>
        <v>AI-021</v>
      </c>
      <c r="B25" s="74" t="str">
        <f>Syn_AI_Inventory!B25</f>
        <v>Synthetic Training Video Generator</v>
      </c>
      <c r="C25" s="74" t="str">
        <f>IF(Syn_AI_Inventory!J25="N","Out of EU AI Act Scope",IF(Syn_AI_Inventory!K25="Y","Prohibited (Art.5)",IF(Syn_AI_Inventory!L25="Y","High-Risk (Annex I)",IF(AND(Syn_AI_Inventory!M25&lt;&gt;"None",OR(Syn_AI_Inventory!N25="Y",Syn_AI_Inventory!O25="N")),"High-Risk (Annex III)",IF(Syn_AI_Inventory!S25="Y",IF(Syn_AI_Inventory!T25&gt;=Config!$B$5,"GPAI with Systemic Risk","GPAI"),IF(OR(Syn_AI_Inventory!P25="Y",Syn_AI_Inventory!Q25="Y"),"Limited Risk (Art.50)","Minimal Risk"))))))</f>
        <v>Limited Risk (Art.50)</v>
      </c>
      <c r="D25" s="74" t="str">
        <f>IF(Syn_AI_Inventory!J25="N","No",IF(OR(Syn_AI_Inventory!P25="Y",Syn_AI_Inventory!Q25="Y",Syn_AI_Inventory!R25="Y"),"Yes","No"))</f>
        <v>Yes</v>
      </c>
      <c r="E25" s="74">
        <f>ROUND(Config!$B$6*Syn_AI_Inventory!U25+Config!$B$7*Syn_AI_Inventory!V25+Config!$B$8*Syn_AI_Inventory!W25+Config!$B$9*Syn_AI_Inventory!X25,2)</f>
        <v>1.3</v>
      </c>
      <c r="F25" s="74" t="str">
        <f>INDEX(Config!$B$28:$B$31,MATCH(IF(INDEX(Config!$B$17:$B$24,MATCH(C25,Config!$A$17:$A$24,0))=0,0,MIN(INDEX(Config!$B$17:$B$24,MATCH(C25,Config!$A$17:$A$24,0)),IF(E25&gt;=Config!$B$10,1,IF(E25&gt;=Config!$B$11,2,3)))),Config!$A$28:$A$31,0))</f>
        <v>T2 - Elevated</v>
      </c>
      <c r="G25" s="74" t="s">
        <v>756</v>
      </c>
      <c r="H25" s="77">
        <v>0.9</v>
      </c>
      <c r="I25" s="74" t="s">
        <v>1171</v>
      </c>
      <c r="J25" s="74" t="s">
        <v>756</v>
      </c>
      <c r="K25" s="74" t="s">
        <v>1176</v>
      </c>
      <c r="L25" s="84">
        <v>46278</v>
      </c>
      <c r="M25" s="74" t="str">
        <f t="shared" si="0"/>
        <v>Yes</v>
      </c>
      <c r="N25" s="74" t="str">
        <f t="shared" si="1"/>
        <v>Yes</v>
      </c>
      <c r="O25" s="74"/>
      <c r="P25" s="74" t="str">
        <f>IF(LEFT(Q25,2)="T0","Full review + Legal (T0)",IF(AND(G25=C25,H25&gt;=Config!$B$12,LEFT(F25,2)&lt;&gt;"T1"),"Fast-track (single reviewer)","Full review (2 reviewers)"))</f>
        <v>Fast-track (single reviewer)</v>
      </c>
      <c r="Q25" s="74" t="str">
        <f>INDEX(Config!$B$28:$B$31,MATCH(IF(INDEX(Config!$B$17:$B$24,MATCH(J25,Config!$A$17:$A$24,0))=0,0,MIN(INDEX(Config!$B$17:$B$24,MATCH(J25,Config!$A$17:$A$24,0)),IF(E25&gt;=Config!$B$10,1,IF(E25&gt;=Config!$B$11,2,3)))),Config!$A$28:$A$31,0))</f>
        <v>T2 - Elevated</v>
      </c>
    </row>
    <row r="26" spans="1:17" x14ac:dyDescent="0.3">
      <c r="A26" s="74" t="str">
        <f>Syn_AI_Inventory!A26</f>
        <v>AI-022</v>
      </c>
      <c r="B26" s="74" t="str">
        <f>Syn_AI_Inventory!B26</f>
        <v>AML Transaction Monitoring</v>
      </c>
      <c r="C26" s="74" t="str">
        <f>IF(Syn_AI_Inventory!J26="N","Out of EU AI Act Scope",IF(Syn_AI_Inventory!K26="Y","Prohibited (Art.5)",IF(Syn_AI_Inventory!L26="Y","High-Risk (Annex I)",IF(AND(Syn_AI_Inventory!M26&lt;&gt;"None",OR(Syn_AI_Inventory!N26="Y",Syn_AI_Inventory!O26="N")),"High-Risk (Annex III)",IF(Syn_AI_Inventory!S26="Y",IF(Syn_AI_Inventory!T26&gt;=Config!$B$5,"GPAI with Systemic Risk","GPAI"),IF(OR(Syn_AI_Inventory!P26="Y",Syn_AI_Inventory!Q26="Y"),"Limited Risk (Art.50)","Minimal Risk"))))))</f>
        <v>Minimal Risk</v>
      </c>
      <c r="D26" s="74" t="str">
        <f>IF(Syn_AI_Inventory!J26="N","No",IF(OR(Syn_AI_Inventory!P26="Y",Syn_AI_Inventory!Q26="Y",Syn_AI_Inventory!R26="Y"),"Yes","No"))</f>
        <v>No</v>
      </c>
      <c r="E26" s="74">
        <f>ROUND(Config!$B$6*Syn_AI_Inventory!U26+Config!$B$7*Syn_AI_Inventory!V26+Config!$B$8*Syn_AI_Inventory!W26+Config!$B$9*Syn_AI_Inventory!X26,2)</f>
        <v>4.0999999999999996</v>
      </c>
      <c r="F26" s="74" t="str">
        <f>INDEX(Config!$B$28:$B$31,MATCH(IF(INDEX(Config!$B$17:$B$24,MATCH(C26,Config!$A$17:$A$24,0))=0,0,MIN(INDEX(Config!$B$17:$B$24,MATCH(C26,Config!$A$17:$A$24,0)),IF(E26&gt;=Config!$B$10,1,IF(E26&gt;=Config!$B$11,2,3)))),Config!$A$28:$A$31,0))</f>
        <v>T1 - Critical</v>
      </c>
      <c r="G26" s="74" t="s">
        <v>759</v>
      </c>
      <c r="H26" s="77">
        <v>0.89</v>
      </c>
      <c r="I26" s="74" t="s">
        <v>1173</v>
      </c>
      <c r="J26" s="74" t="s">
        <v>759</v>
      </c>
      <c r="K26" s="74" t="s">
        <v>1170</v>
      </c>
      <c r="L26" s="84">
        <v>46281</v>
      </c>
      <c r="M26" s="74" t="str">
        <f t="shared" si="0"/>
        <v>Yes</v>
      </c>
      <c r="N26" s="74" t="str">
        <f t="shared" si="1"/>
        <v>Yes</v>
      </c>
      <c r="O26" s="74"/>
      <c r="P26" s="74" t="str">
        <f>IF(LEFT(Q26,2)="T0","Full review + Legal (T0)",IF(AND(G26=C26,H26&gt;=Config!$B$12,LEFT(F26,2)&lt;&gt;"T1"),"Fast-track (single reviewer)","Full review (2 reviewers)"))</f>
        <v>Full review (2 reviewers)</v>
      </c>
      <c r="Q26" s="74" t="str">
        <f>INDEX(Config!$B$28:$B$31,MATCH(IF(INDEX(Config!$B$17:$B$24,MATCH(J26,Config!$A$17:$A$24,0))=0,0,MIN(INDEX(Config!$B$17:$B$24,MATCH(J26,Config!$A$17:$A$24,0)),IF(E26&gt;=Config!$B$10,1,IF(E26&gt;=Config!$B$11,2,3)))),Config!$A$28:$A$31,0))</f>
        <v>T1 - Critical</v>
      </c>
    </row>
    <row r="27" spans="1:17" x14ac:dyDescent="0.3">
      <c r="A27" s="74" t="str">
        <f>Syn_AI_Inventory!A27</f>
        <v>AI-023</v>
      </c>
      <c r="B27" s="74" t="str">
        <f>Syn_AI_Inventory!B27</f>
        <v>Voice Biometric Authentication</v>
      </c>
      <c r="C27" s="74" t="str">
        <f>IF(Syn_AI_Inventory!J27="N","Out of EU AI Act Scope",IF(Syn_AI_Inventory!K27="Y","Prohibited (Art.5)",IF(Syn_AI_Inventory!L27="Y","High-Risk (Annex I)",IF(AND(Syn_AI_Inventory!M27&lt;&gt;"None",OR(Syn_AI_Inventory!N27="Y",Syn_AI_Inventory!O27="N")),"High-Risk (Annex III)",IF(Syn_AI_Inventory!S27="Y",IF(Syn_AI_Inventory!T27&gt;=Config!$B$5,"GPAI with Systemic Risk","GPAI"),IF(OR(Syn_AI_Inventory!P27="Y",Syn_AI_Inventory!Q27="Y"),"Limited Risk (Art.50)","Minimal Risk"))))))</f>
        <v>Minimal Risk</v>
      </c>
      <c r="D27" s="74" t="str">
        <f>IF(Syn_AI_Inventory!J27="N","No",IF(OR(Syn_AI_Inventory!P27="Y",Syn_AI_Inventory!Q27="Y",Syn_AI_Inventory!R27="Y"),"Yes","No"))</f>
        <v>No</v>
      </c>
      <c r="E27" s="74">
        <f>ROUND(Config!$B$6*Syn_AI_Inventory!U27+Config!$B$7*Syn_AI_Inventory!V27+Config!$B$8*Syn_AI_Inventory!W27+Config!$B$9*Syn_AI_Inventory!X27,2)</f>
        <v>4</v>
      </c>
      <c r="F27" s="74" t="str">
        <f>INDEX(Config!$B$28:$B$31,MATCH(IF(INDEX(Config!$B$17:$B$24,MATCH(C27,Config!$A$17:$A$24,0))=0,0,MIN(INDEX(Config!$B$17:$B$24,MATCH(C27,Config!$A$17:$A$24,0)),IF(E27&gt;=Config!$B$10,1,IF(E27&gt;=Config!$B$11,2,3)))),Config!$A$28:$A$31,0))</f>
        <v>T1 - Critical</v>
      </c>
      <c r="G27" s="74" t="s">
        <v>759</v>
      </c>
      <c r="H27" s="77">
        <v>0.93</v>
      </c>
      <c r="I27" s="74" t="s">
        <v>1173</v>
      </c>
      <c r="J27" s="74" t="s">
        <v>759</v>
      </c>
      <c r="K27" s="74" t="s">
        <v>1172</v>
      </c>
      <c r="L27" s="84">
        <v>46275</v>
      </c>
      <c r="M27" s="74" t="str">
        <f t="shared" si="0"/>
        <v>Yes</v>
      </c>
      <c r="N27" s="74" t="str">
        <f t="shared" si="1"/>
        <v>Yes</v>
      </c>
      <c r="O27" s="74"/>
      <c r="P27" s="74" t="str">
        <f>IF(LEFT(Q27,2)="T0","Full review + Legal (T0)",IF(AND(G27=C27,H27&gt;=Config!$B$12,LEFT(F27,2)&lt;&gt;"T1"),"Fast-track (single reviewer)","Full review (2 reviewers)"))</f>
        <v>Full review (2 reviewers)</v>
      </c>
      <c r="Q27" s="74" t="str">
        <f>INDEX(Config!$B$28:$B$31,MATCH(IF(INDEX(Config!$B$17:$B$24,MATCH(J27,Config!$A$17:$A$24,0))=0,0,MIN(INDEX(Config!$B$17:$B$24,MATCH(J27,Config!$A$17:$A$24,0)),IF(E27&gt;=Config!$B$10,1,IF(E27&gt;=Config!$B$11,2,3)))),Config!$A$28:$A$31,0))</f>
        <v>T1 - Critical</v>
      </c>
    </row>
    <row r="28" spans="1:17" ht="26.4" x14ac:dyDescent="0.3">
      <c r="A28" s="74" t="str">
        <f>Syn_AI_Inventory!A28</f>
        <v>AI-024</v>
      </c>
      <c r="B28" s="74" t="str">
        <f>Syn_AI_Inventory!B28</f>
        <v>Robo-Advisor Chat</v>
      </c>
      <c r="C28" s="74" t="str">
        <f>IF(Syn_AI_Inventory!J28="N","Out of EU AI Act Scope",IF(Syn_AI_Inventory!K28="Y","Prohibited (Art.5)",IF(Syn_AI_Inventory!L28="Y","High-Risk (Annex I)",IF(AND(Syn_AI_Inventory!M28&lt;&gt;"None",OR(Syn_AI_Inventory!N28="Y",Syn_AI_Inventory!O28="N")),"High-Risk (Annex III)",IF(Syn_AI_Inventory!S28="Y",IF(Syn_AI_Inventory!T28&gt;=Config!$B$5,"GPAI with Systemic Risk","GPAI"),IF(OR(Syn_AI_Inventory!P28="Y",Syn_AI_Inventory!Q28="Y"),"Limited Risk (Art.50)","Minimal Risk"))))))</f>
        <v>Limited Risk (Art.50)</v>
      </c>
      <c r="D28" s="74" t="str">
        <f>IF(Syn_AI_Inventory!J28="N","No",IF(OR(Syn_AI_Inventory!P28="Y",Syn_AI_Inventory!Q28="Y",Syn_AI_Inventory!R28="Y"),"Yes","No"))</f>
        <v>Yes</v>
      </c>
      <c r="E28" s="74">
        <f>ROUND(Config!$B$6*Syn_AI_Inventory!U28+Config!$B$7*Syn_AI_Inventory!V28+Config!$B$8*Syn_AI_Inventory!W28+Config!$B$9*Syn_AI_Inventory!X28,2)</f>
        <v>3.7</v>
      </c>
      <c r="F28" s="74" t="str">
        <f>INDEX(Config!$B$28:$B$31,MATCH(IF(INDEX(Config!$B$17:$B$24,MATCH(C28,Config!$A$17:$A$24,0))=0,0,MIN(INDEX(Config!$B$17:$B$24,MATCH(C28,Config!$A$17:$A$24,0)),IF(E28&gt;=Config!$B$10,1,IF(E28&gt;=Config!$B$11,2,3)))),Config!$A$28:$A$31,0))</f>
        <v>T2 - Elevated</v>
      </c>
      <c r="G28" s="74" t="s">
        <v>742</v>
      </c>
      <c r="H28" s="77">
        <v>0.66</v>
      </c>
      <c r="I28" s="74" t="s">
        <v>1182</v>
      </c>
      <c r="J28" s="74" t="s">
        <v>756</v>
      </c>
      <c r="K28" s="74" t="s">
        <v>1170</v>
      </c>
      <c r="L28" s="84">
        <v>46278</v>
      </c>
      <c r="M28" s="74" t="str">
        <f t="shared" si="0"/>
        <v>No</v>
      </c>
      <c r="N28" s="74" t="str">
        <f t="shared" si="1"/>
        <v>Yes</v>
      </c>
      <c r="O28" s="74" t="s">
        <v>1183</v>
      </c>
      <c r="P28" s="74" t="str">
        <f>IF(LEFT(Q28,2)="T0","Full review + Legal (T0)",IF(AND(G28=C28,H28&gt;=Config!$B$12,LEFT(F28,2)&lt;&gt;"T1"),"Fast-track (single reviewer)","Full review (2 reviewers)"))</f>
        <v>Full review (2 reviewers)</v>
      </c>
      <c r="Q28" s="74" t="str">
        <f>INDEX(Config!$B$28:$B$31,MATCH(IF(INDEX(Config!$B$17:$B$24,MATCH(J28,Config!$A$17:$A$24,0))=0,0,MIN(INDEX(Config!$B$17:$B$24,MATCH(J28,Config!$A$17:$A$24,0)),IF(E28&gt;=Config!$B$10,1,IF(E28&gt;=Config!$B$11,2,3)))),Config!$A$28:$A$31,0))</f>
        <v>T2 - Elevated</v>
      </c>
    </row>
    <row r="29" spans="1:17" x14ac:dyDescent="0.3">
      <c r="A29" s="74" t="str">
        <f>Syn_AI_Inventory!A29</f>
        <v>AI-025</v>
      </c>
      <c r="B29" s="74" t="str">
        <f>Syn_AI_Inventory!B29</f>
        <v>Customer Churn Predictor</v>
      </c>
      <c r="C29" s="74" t="str">
        <f>IF(Syn_AI_Inventory!J29="N","Out of EU AI Act Scope",IF(Syn_AI_Inventory!K29="Y","Prohibited (Art.5)",IF(Syn_AI_Inventory!L29="Y","High-Risk (Annex I)",IF(AND(Syn_AI_Inventory!M29&lt;&gt;"None",OR(Syn_AI_Inventory!N29="Y",Syn_AI_Inventory!O29="N")),"High-Risk (Annex III)",IF(Syn_AI_Inventory!S29="Y",IF(Syn_AI_Inventory!T29&gt;=Config!$B$5,"GPAI with Systemic Risk","GPAI"),IF(OR(Syn_AI_Inventory!P29="Y",Syn_AI_Inventory!Q29="Y"),"Limited Risk (Art.50)","Minimal Risk"))))))</f>
        <v>Minimal Risk</v>
      </c>
      <c r="D29" s="74" t="str">
        <f>IF(Syn_AI_Inventory!J29="N","No",IF(OR(Syn_AI_Inventory!P29="Y",Syn_AI_Inventory!Q29="Y",Syn_AI_Inventory!R29="Y"),"Yes","No"))</f>
        <v>No</v>
      </c>
      <c r="E29" s="74">
        <f>ROUND(Config!$B$6*Syn_AI_Inventory!U29+Config!$B$7*Syn_AI_Inventory!V29+Config!$B$8*Syn_AI_Inventory!W29+Config!$B$9*Syn_AI_Inventory!X29,2)</f>
        <v>2.2999999999999998</v>
      </c>
      <c r="F29" s="74" t="str">
        <f>INDEX(Config!$B$28:$B$31,MATCH(IF(INDEX(Config!$B$17:$B$24,MATCH(C29,Config!$A$17:$A$24,0))=0,0,MIN(INDEX(Config!$B$17:$B$24,MATCH(C29,Config!$A$17:$A$24,0)),IF(E29&gt;=Config!$B$10,1,IF(E29&gt;=Config!$B$11,2,3)))),Config!$A$28:$A$31,0))</f>
        <v>T3 - Standard</v>
      </c>
      <c r="G29" s="74" t="s">
        <v>759</v>
      </c>
      <c r="H29" s="77">
        <v>0.91</v>
      </c>
      <c r="I29" s="74" t="s">
        <v>1173</v>
      </c>
      <c r="J29" s="74" t="s">
        <v>759</v>
      </c>
      <c r="K29" s="74" t="s">
        <v>1170</v>
      </c>
      <c r="L29" s="84">
        <v>46278</v>
      </c>
      <c r="M29" s="74" t="str">
        <f t="shared" si="0"/>
        <v>Yes</v>
      </c>
      <c r="N29" s="74" t="str">
        <f t="shared" si="1"/>
        <v>Yes</v>
      </c>
      <c r="O29" s="74"/>
      <c r="P29" s="74" t="str">
        <f>IF(LEFT(Q29,2)="T0","Full review + Legal (T0)",IF(AND(G29=C29,H29&gt;=Config!$B$12,LEFT(F29,2)&lt;&gt;"T1"),"Fast-track (single reviewer)","Full review (2 reviewers)"))</f>
        <v>Fast-track (single reviewer)</v>
      </c>
      <c r="Q29" s="74" t="str">
        <f>INDEX(Config!$B$28:$B$31,MATCH(IF(INDEX(Config!$B$17:$B$24,MATCH(J29,Config!$A$17:$A$24,0))=0,0,MIN(INDEX(Config!$B$17:$B$24,MATCH(J29,Config!$A$17:$A$24,0)),IF(E29&gt;=Config!$B$10,1,IF(E29&gt;=Config!$B$11,2,3)))),Config!$A$28:$A$31,0))</f>
        <v>T3 - Standard</v>
      </c>
    </row>
    <row r="30" spans="1:17" ht="26.4" x14ac:dyDescent="0.3">
      <c r="A30" s="74" t="str">
        <f>Syn_AI_Inventory!A30</f>
        <v>AI-026</v>
      </c>
      <c r="B30" s="74" t="str">
        <f>Syn_AI_Inventory!B30</f>
        <v>Credit Limit Increase Recommender</v>
      </c>
      <c r="C30" s="74" t="str">
        <f>IF(Syn_AI_Inventory!J30="N","Out of EU AI Act Scope",IF(Syn_AI_Inventory!K30="Y","Prohibited (Art.5)",IF(Syn_AI_Inventory!L30="Y","High-Risk (Annex I)",IF(AND(Syn_AI_Inventory!M30&lt;&gt;"None",OR(Syn_AI_Inventory!N30="Y",Syn_AI_Inventory!O30="N")),"High-Risk (Annex III)",IF(Syn_AI_Inventory!S30="Y",IF(Syn_AI_Inventory!T30&gt;=Config!$B$5,"GPAI with Systemic Risk","GPAI"),IF(OR(Syn_AI_Inventory!P30="Y",Syn_AI_Inventory!Q30="Y"),"Limited Risk (Art.50)","Minimal Risk"))))))</f>
        <v>High-Risk (Annex III)</v>
      </c>
      <c r="D30" s="74" t="str">
        <f>IF(Syn_AI_Inventory!J30="N","No",IF(OR(Syn_AI_Inventory!P30="Y",Syn_AI_Inventory!Q30="Y",Syn_AI_Inventory!R30="Y"),"Yes","No"))</f>
        <v>No</v>
      </c>
      <c r="E30" s="74">
        <f>ROUND(Config!$B$6*Syn_AI_Inventory!U30+Config!$B$7*Syn_AI_Inventory!V30+Config!$B$8*Syn_AI_Inventory!W30+Config!$B$9*Syn_AI_Inventory!X30,2)</f>
        <v>4.4000000000000004</v>
      </c>
      <c r="F30" s="74" t="str">
        <f>INDEX(Config!$B$28:$B$31,MATCH(IF(INDEX(Config!$B$17:$B$24,MATCH(C30,Config!$A$17:$A$24,0))=0,0,MIN(INDEX(Config!$B$17:$B$24,MATCH(C30,Config!$A$17:$A$24,0)),IF(E30&gt;=Config!$B$10,1,IF(E30&gt;=Config!$B$11,2,3)))),Config!$A$28:$A$31,0))</f>
        <v>T1 - Critical</v>
      </c>
      <c r="G30" s="74" t="s">
        <v>742</v>
      </c>
      <c r="H30" s="77">
        <v>0.9</v>
      </c>
      <c r="I30" s="74" t="s">
        <v>1169</v>
      </c>
      <c r="J30" s="74" t="s">
        <v>742</v>
      </c>
      <c r="K30" s="74" t="s">
        <v>1176</v>
      </c>
      <c r="L30" s="84">
        <v>46290</v>
      </c>
      <c r="M30" s="74" t="str">
        <f t="shared" si="0"/>
        <v>Yes</v>
      </c>
      <c r="N30" s="74" t="str">
        <f t="shared" si="1"/>
        <v>Yes</v>
      </c>
      <c r="O30" s="74"/>
      <c r="P30" s="74" t="str">
        <f>IF(LEFT(Q30,2)="T0","Full review + Legal (T0)",IF(AND(G30=C30,H30&gt;=Config!$B$12,LEFT(F30,2)&lt;&gt;"T1"),"Fast-track (single reviewer)","Full review (2 reviewers)"))</f>
        <v>Full review (2 reviewers)</v>
      </c>
      <c r="Q30" s="74" t="str">
        <f>INDEX(Config!$B$28:$B$31,MATCH(IF(INDEX(Config!$B$17:$B$24,MATCH(J30,Config!$A$17:$A$24,0))=0,0,MIN(INDEX(Config!$B$17:$B$24,MATCH(J30,Config!$A$17:$A$24,0)),IF(E30&gt;=Config!$B$10,1,IF(E30&gt;=Config!$B$11,2,3)))),Config!$A$28:$A$31,0))</f>
        <v>T1 - Critical</v>
      </c>
    </row>
    <row r="31" spans="1:17" ht="26.4" x14ac:dyDescent="0.3">
      <c r="A31" s="74" t="str">
        <f>Syn_AI_Inventory!A31</f>
        <v>AI-027</v>
      </c>
      <c r="B31" s="74" t="str">
        <f>Syn_AI_Inventory!B31</f>
        <v>Health Underwriting Assistant</v>
      </c>
      <c r="C31" s="74" t="str">
        <f>IF(Syn_AI_Inventory!J31="N","Out of EU AI Act Scope",IF(Syn_AI_Inventory!K31="Y","Prohibited (Art.5)",IF(Syn_AI_Inventory!L31="Y","High-Risk (Annex I)",IF(AND(Syn_AI_Inventory!M31&lt;&gt;"None",OR(Syn_AI_Inventory!N31="Y",Syn_AI_Inventory!O31="N")),"High-Risk (Annex III)",IF(Syn_AI_Inventory!S31="Y",IF(Syn_AI_Inventory!T31&gt;=Config!$B$5,"GPAI with Systemic Risk","GPAI"),IF(OR(Syn_AI_Inventory!P31="Y",Syn_AI_Inventory!Q31="Y"),"Limited Risk (Art.50)","Minimal Risk"))))))</f>
        <v>High-Risk (Annex III)</v>
      </c>
      <c r="D31" s="74" t="str">
        <f>IF(Syn_AI_Inventory!J31="N","No",IF(OR(Syn_AI_Inventory!P31="Y",Syn_AI_Inventory!Q31="Y",Syn_AI_Inventory!R31="Y"),"Yes","No"))</f>
        <v>No</v>
      </c>
      <c r="E31" s="74">
        <f>ROUND(Config!$B$6*Syn_AI_Inventory!U31+Config!$B$7*Syn_AI_Inventory!V31+Config!$B$8*Syn_AI_Inventory!W31+Config!$B$9*Syn_AI_Inventory!X31,2)</f>
        <v>4.4000000000000004</v>
      </c>
      <c r="F31" s="74" t="str">
        <f>INDEX(Config!$B$28:$B$31,MATCH(IF(INDEX(Config!$B$17:$B$24,MATCH(C31,Config!$A$17:$A$24,0))=0,0,MIN(INDEX(Config!$B$17:$B$24,MATCH(C31,Config!$A$17:$A$24,0)),IF(E31&gt;=Config!$B$10,1,IF(E31&gt;=Config!$B$11,2,3)))),Config!$A$28:$A$31,0))</f>
        <v>T1 - Critical</v>
      </c>
      <c r="G31" s="74" t="s">
        <v>742</v>
      </c>
      <c r="H31" s="77">
        <v>0.87</v>
      </c>
      <c r="I31" s="74" t="s">
        <v>1169</v>
      </c>
      <c r="J31" s="74" t="s">
        <v>742</v>
      </c>
      <c r="K31" s="74" t="s">
        <v>1176</v>
      </c>
      <c r="L31" s="84">
        <v>46274</v>
      </c>
      <c r="M31" s="74" t="str">
        <f t="shared" si="0"/>
        <v>Yes</v>
      </c>
      <c r="N31" s="74" t="str">
        <f t="shared" si="1"/>
        <v>Yes</v>
      </c>
      <c r="O31" s="74"/>
      <c r="P31" s="74" t="str">
        <f>IF(LEFT(Q31,2)="T0","Full review + Legal (T0)",IF(AND(G31=C31,H31&gt;=Config!$B$12,LEFT(F31,2)&lt;&gt;"T1"),"Fast-track (single reviewer)","Full review (2 reviewers)"))</f>
        <v>Full review (2 reviewers)</v>
      </c>
      <c r="Q31" s="74" t="str">
        <f>INDEX(Config!$B$28:$B$31,MATCH(IF(INDEX(Config!$B$17:$B$24,MATCH(J31,Config!$A$17:$A$24,0))=0,0,MIN(INDEX(Config!$B$17:$B$24,MATCH(J31,Config!$A$17:$A$24,0)),IF(E31&gt;=Config!$B$10,1,IF(E31&gt;=Config!$B$11,2,3)))),Config!$A$28:$A$31,0))</f>
        <v>T1 - Critical</v>
      </c>
    </row>
    <row r="32" spans="1:17" ht="39.6" x14ac:dyDescent="0.3">
      <c r="A32" s="74" t="str">
        <f>Syn_AI_Inventory!A32</f>
        <v>AI-028</v>
      </c>
      <c r="B32" s="74" t="str">
        <f>Syn_AI_Inventory!B32</f>
        <v>Video Interview Analyser</v>
      </c>
      <c r="C32" s="74" t="str">
        <f>IF(Syn_AI_Inventory!J32="N","Out of EU AI Act Scope",IF(Syn_AI_Inventory!K32="Y","Prohibited (Art.5)",IF(Syn_AI_Inventory!L32="Y","High-Risk (Annex I)",IF(AND(Syn_AI_Inventory!M32&lt;&gt;"None",OR(Syn_AI_Inventory!N32="Y",Syn_AI_Inventory!O32="N")),"High-Risk (Annex III)",IF(Syn_AI_Inventory!S32="Y",IF(Syn_AI_Inventory!T32&gt;=Config!$B$5,"GPAI with Systemic Risk","GPAI"),IF(OR(Syn_AI_Inventory!P32="Y",Syn_AI_Inventory!Q32="Y"),"Limited Risk (Art.50)","Minimal Risk"))))))</f>
        <v>High-Risk (Annex III)</v>
      </c>
      <c r="D32" s="74" t="str">
        <f>IF(Syn_AI_Inventory!J32="N","No",IF(OR(Syn_AI_Inventory!P32="Y",Syn_AI_Inventory!Q32="Y",Syn_AI_Inventory!R32="Y"),"Yes","No"))</f>
        <v>Yes</v>
      </c>
      <c r="E32" s="74">
        <f>ROUND(Config!$B$6*Syn_AI_Inventory!U32+Config!$B$7*Syn_AI_Inventory!V32+Config!$B$8*Syn_AI_Inventory!W32+Config!$B$9*Syn_AI_Inventory!X32,2)</f>
        <v>3.8</v>
      </c>
      <c r="F32" s="74" t="str">
        <f>INDEX(Config!$B$28:$B$31,MATCH(IF(INDEX(Config!$B$17:$B$24,MATCH(C32,Config!$A$17:$A$24,0))=0,0,MIN(INDEX(Config!$B$17:$B$24,MATCH(C32,Config!$A$17:$A$24,0)),IF(E32&gt;=Config!$B$10,1,IF(E32&gt;=Config!$B$11,2,3)))),Config!$A$28:$A$31,0))</f>
        <v>T1 - Critical</v>
      </c>
      <c r="G32" s="74" t="s">
        <v>705</v>
      </c>
      <c r="H32" s="77">
        <v>0.71</v>
      </c>
      <c r="I32" s="74" t="s">
        <v>1184</v>
      </c>
      <c r="J32" s="74" t="s">
        <v>705</v>
      </c>
      <c r="K32" s="74" t="s">
        <v>1176</v>
      </c>
      <c r="L32" s="84">
        <v>46280</v>
      </c>
      <c r="M32" s="74" t="str">
        <f t="shared" si="0"/>
        <v>Yes</v>
      </c>
      <c r="N32" s="74" t="str">
        <f t="shared" si="1"/>
        <v>No</v>
      </c>
      <c r="O32" s="74" t="s">
        <v>1185</v>
      </c>
      <c r="P32" s="74" t="str">
        <f>IF(LEFT(Q32,2)="T0","Full review + Legal (T0)",IF(AND(G32=C32,H32&gt;=Config!$B$12,LEFT(F32,2)&lt;&gt;"T1"),"Fast-track (single reviewer)","Full review (2 reviewers)"))</f>
        <v>Full review + Legal (T0)</v>
      </c>
      <c r="Q32" s="74" t="str">
        <f>INDEX(Config!$B$28:$B$31,MATCH(IF(INDEX(Config!$B$17:$B$24,MATCH(J32,Config!$A$17:$A$24,0))=0,0,MIN(INDEX(Config!$B$17:$B$24,MATCH(J32,Config!$A$17:$A$24,0)),IF(E32&gt;=Config!$B$10,1,IF(E32&gt;=Config!$B$11,2,3)))),Config!$A$28:$A$31,0))</f>
        <v>T0 - Stop</v>
      </c>
    </row>
    <row r="33" spans="1:17" x14ac:dyDescent="0.3">
      <c r="A33" s="74" t="str">
        <f>Syn_AI_Inventory!A33</f>
        <v>AI-029</v>
      </c>
      <c r="B33" s="74" t="str">
        <f>Syn_AI_Inventory!B33</f>
        <v>Test Data Synthesiser</v>
      </c>
      <c r="C33" s="74" t="str">
        <f>IF(Syn_AI_Inventory!J33="N","Out of EU AI Act Scope",IF(Syn_AI_Inventory!K33="Y","Prohibited (Art.5)",IF(Syn_AI_Inventory!L33="Y","High-Risk (Annex I)",IF(AND(Syn_AI_Inventory!M33&lt;&gt;"None",OR(Syn_AI_Inventory!N33="Y",Syn_AI_Inventory!O33="N")),"High-Risk (Annex III)",IF(Syn_AI_Inventory!S33="Y",IF(Syn_AI_Inventory!T33&gt;=Config!$B$5,"GPAI with Systemic Risk","GPAI"),IF(OR(Syn_AI_Inventory!P33="Y",Syn_AI_Inventory!Q33="Y"),"Limited Risk (Art.50)","Minimal Risk"))))))</f>
        <v>Minimal Risk</v>
      </c>
      <c r="D33" s="74" t="str">
        <f>IF(Syn_AI_Inventory!J33="N","No",IF(OR(Syn_AI_Inventory!P33="Y",Syn_AI_Inventory!Q33="Y",Syn_AI_Inventory!R33="Y"),"Yes","No"))</f>
        <v>No</v>
      </c>
      <c r="E33" s="74">
        <f>ROUND(Config!$B$6*Syn_AI_Inventory!U33+Config!$B$7*Syn_AI_Inventory!V33+Config!$B$8*Syn_AI_Inventory!W33+Config!$B$9*Syn_AI_Inventory!X33,2)</f>
        <v>1.5</v>
      </c>
      <c r="F33" s="74" t="str">
        <f>INDEX(Config!$B$28:$B$31,MATCH(IF(INDEX(Config!$B$17:$B$24,MATCH(C33,Config!$A$17:$A$24,0))=0,0,MIN(INDEX(Config!$B$17:$B$24,MATCH(C33,Config!$A$17:$A$24,0)),IF(E33&gt;=Config!$B$10,1,IF(E33&gt;=Config!$B$11,2,3)))),Config!$A$28:$A$31,0))</f>
        <v>T3 - Standard</v>
      </c>
      <c r="G33" s="74" t="s">
        <v>759</v>
      </c>
      <c r="H33" s="77">
        <v>0.95</v>
      </c>
      <c r="I33" s="74" t="s">
        <v>1173</v>
      </c>
      <c r="J33" s="74" t="s">
        <v>759</v>
      </c>
      <c r="K33" s="74" t="s">
        <v>1176</v>
      </c>
      <c r="L33" s="84">
        <v>46285</v>
      </c>
      <c r="M33" s="74" t="str">
        <f t="shared" si="0"/>
        <v>Yes</v>
      </c>
      <c r="N33" s="74" t="str">
        <f t="shared" si="1"/>
        <v>Yes</v>
      </c>
      <c r="O33" s="74"/>
      <c r="P33" s="74" t="str">
        <f>IF(LEFT(Q33,2)="T0","Full review + Legal (T0)",IF(AND(G33=C33,H33&gt;=Config!$B$12,LEFT(F33,2)&lt;&gt;"T1"),"Fast-track (single reviewer)","Full review (2 reviewers)"))</f>
        <v>Fast-track (single reviewer)</v>
      </c>
      <c r="Q33" s="74" t="str">
        <f>INDEX(Config!$B$28:$B$31,MATCH(IF(INDEX(Config!$B$17:$B$24,MATCH(J33,Config!$A$17:$A$24,0))=0,0,MIN(INDEX(Config!$B$17:$B$24,MATCH(J33,Config!$A$17:$A$24,0)),IF(E33&gt;=Config!$B$10,1,IF(E33&gt;=Config!$B$11,2,3)))),Config!$A$28:$A$31,0))</f>
        <v>T3 - Standard</v>
      </c>
    </row>
    <row r="34" spans="1:17" ht="26.4" x14ac:dyDescent="0.3">
      <c r="A34" s="74" t="str">
        <f>Syn_AI_Inventory!A34</f>
        <v>AI-030</v>
      </c>
      <c r="B34" s="74" t="str">
        <f>Syn_AI_Inventory!B34</f>
        <v>HR Policy Chatbot (pilot)</v>
      </c>
      <c r="C34" s="74" t="str">
        <f>IF(Syn_AI_Inventory!J34="N","Out of EU AI Act Scope",IF(Syn_AI_Inventory!K34="Y","Prohibited (Art.5)",IF(Syn_AI_Inventory!L34="Y","High-Risk (Annex I)",IF(AND(Syn_AI_Inventory!M34&lt;&gt;"None",OR(Syn_AI_Inventory!N34="Y",Syn_AI_Inventory!O34="N")),"High-Risk (Annex III)",IF(Syn_AI_Inventory!S34="Y",IF(Syn_AI_Inventory!T34&gt;=Config!$B$5,"GPAI with Systemic Risk","GPAI"),IF(OR(Syn_AI_Inventory!P34="Y",Syn_AI_Inventory!Q34="Y"),"Limited Risk (Art.50)","Minimal Risk"))))))</f>
        <v>Limited Risk (Art.50)</v>
      </c>
      <c r="D34" s="74" t="str">
        <f>IF(Syn_AI_Inventory!J34="N","No",IF(OR(Syn_AI_Inventory!P34="Y",Syn_AI_Inventory!Q34="Y",Syn_AI_Inventory!R34="Y"),"Yes","No"))</f>
        <v>Yes</v>
      </c>
      <c r="E34" s="74">
        <f>ROUND(Config!$B$6*Syn_AI_Inventory!U34+Config!$B$7*Syn_AI_Inventory!V34+Config!$B$8*Syn_AI_Inventory!W34+Config!$B$9*Syn_AI_Inventory!X34,2)</f>
        <v>2.5</v>
      </c>
      <c r="F34" s="74" t="str">
        <f>INDEX(Config!$B$28:$B$31,MATCH(IF(INDEX(Config!$B$17:$B$24,MATCH(C34,Config!$A$17:$A$24,0))=0,0,MIN(INDEX(Config!$B$17:$B$24,MATCH(C34,Config!$A$17:$A$24,0)),IF(E34&gt;=Config!$B$10,1,IF(E34&gt;=Config!$B$11,2,3)))),Config!$A$28:$A$31,0))</f>
        <v>T2 - Elevated</v>
      </c>
      <c r="G34" s="74" t="s">
        <v>756</v>
      </c>
      <c r="H34" s="77">
        <v>0.87</v>
      </c>
      <c r="I34" s="74" t="s">
        <v>1171</v>
      </c>
      <c r="J34" s="74" t="s">
        <v>756</v>
      </c>
      <c r="K34" s="74" t="s">
        <v>1170</v>
      </c>
      <c r="L34" s="84">
        <v>46283</v>
      </c>
      <c r="M34" s="74" t="str">
        <f t="shared" si="0"/>
        <v>Yes</v>
      </c>
      <c r="N34" s="74" t="str">
        <f t="shared" si="1"/>
        <v>Yes</v>
      </c>
      <c r="O34" s="74"/>
      <c r="P34" s="74" t="str">
        <f>IF(LEFT(Q34,2)="T0","Full review + Legal (T0)",IF(AND(G34=C34,H34&gt;=Config!$B$12,LEFT(F34,2)&lt;&gt;"T1"),"Fast-track (single reviewer)","Full review (2 reviewers)"))</f>
        <v>Fast-track (single reviewer)</v>
      </c>
      <c r="Q34" s="74" t="str">
        <f>INDEX(Config!$B$28:$B$31,MATCH(IF(INDEX(Config!$B$17:$B$24,MATCH(J34,Config!$A$17:$A$24,0))=0,0,MIN(INDEX(Config!$B$17:$B$24,MATCH(J34,Config!$A$17:$A$24,0)),IF(E34&gt;=Config!$B$10,1,IF(E34&gt;=Config!$B$11,2,3)))),Config!$A$28:$A$31,0))</f>
        <v>T2 - Elevated</v>
      </c>
    </row>
  </sheetData>
  <conditionalFormatting sqref="M5:N34">
    <cfRule type="cellIs" dxfId="11" priority="6" operator="equal">
      <formula>"No"</formula>
    </cfRule>
  </conditionalFormatting>
  <conditionalFormatting sqref="Q5:Q34">
    <cfRule type="expression" dxfId="10" priority="2">
      <formula>LEFT(Q5,2)="T0"</formula>
    </cfRule>
    <cfRule type="expression" dxfId="9" priority="3">
      <formula>LEFT(Q5,2)="T1"</formula>
    </cfRule>
    <cfRule type="expression" dxfId="8" priority="4">
      <formula>LEFT(Q5,2)="T2"</formula>
    </cfRule>
    <cfRule type="expression" dxfId="7" priority="5">
      <formula>LEFT(Q5,2)="T3"</formula>
    </cfRule>
  </conditionalFormatting>
  <dataValidations count="1">
    <dataValidation type="list" allowBlank="1" sqref="G5:G34 J5:J34" xr:uid="{00000000-0002-0000-0B00-000000000000}">
      <formula1>"Prohibited (Art.5),High-Risk (Annex I),High-Risk (Annex III),GPAI with Systemic Risk,GPAI,Limited Risk (Art.50),Minimal Risk,Out of EU AI Act Scope"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0000"/>
  </sheetPr>
  <dimension ref="A1:P134"/>
  <sheetViews>
    <sheetView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5" sqref="C5"/>
    </sheetView>
  </sheetViews>
  <sheetFormatPr defaultColWidth="8.77734375" defaultRowHeight="14.4" x14ac:dyDescent="0.3"/>
  <cols>
    <col min="1" max="2" width="9" customWidth="1"/>
    <col min="3" max="3" width="30" customWidth="1"/>
    <col min="4" max="4" width="16" customWidth="1"/>
    <col min="5" max="5" width="7.88671875" customWidth="1"/>
    <col min="6" max="6" width="39.88671875" customWidth="1"/>
    <col min="7" max="7" width="23.88671875" customWidth="1"/>
    <col min="8" max="8" width="20" customWidth="1"/>
    <col min="9" max="9" width="22.109375" customWidth="1"/>
    <col min="10" max="10" width="20" customWidth="1"/>
    <col min="11" max="11" width="14" customWidth="1"/>
    <col min="12" max="12" width="23.88671875" customWidth="1"/>
    <col min="13" max="14" width="9.88671875" customWidth="1"/>
    <col min="15" max="15" width="12" customWidth="1"/>
    <col min="16" max="16" width="39.88671875" customWidth="1"/>
  </cols>
  <sheetData>
    <row r="1" spans="1:16" ht="17.399999999999999" x14ac:dyDescent="0.3">
      <c r="A1" s="4" t="s">
        <v>1186</v>
      </c>
    </row>
    <row r="2" spans="1:16" x14ac:dyDescent="0.3">
      <c r="A2" s="5" t="s">
        <v>1187</v>
      </c>
    </row>
    <row r="4" spans="1:16" s="79" customFormat="1" ht="39.75" customHeight="1" x14ac:dyDescent="0.3">
      <c r="A4" s="78" t="s">
        <v>1188</v>
      </c>
      <c r="B4" s="78" t="s">
        <v>985</v>
      </c>
      <c r="C4" s="78" t="s">
        <v>986</v>
      </c>
      <c r="D4" s="78" t="s">
        <v>1189</v>
      </c>
      <c r="E4" s="78" t="s">
        <v>767</v>
      </c>
      <c r="F4" s="78" t="s">
        <v>769</v>
      </c>
      <c r="G4" s="78" t="s">
        <v>1190</v>
      </c>
      <c r="H4" s="78" t="s">
        <v>1191</v>
      </c>
      <c r="I4" s="78" t="s">
        <v>1192</v>
      </c>
      <c r="J4" s="78" t="s">
        <v>1193</v>
      </c>
      <c r="K4" s="78" t="s">
        <v>1194</v>
      </c>
      <c r="L4" s="78" t="s">
        <v>1195</v>
      </c>
      <c r="M4" s="78" t="s">
        <v>1159</v>
      </c>
      <c r="N4" s="78" t="s">
        <v>1196</v>
      </c>
      <c r="O4" s="78" t="s">
        <v>1197</v>
      </c>
      <c r="P4" s="78" t="s">
        <v>1198</v>
      </c>
    </row>
    <row r="5" spans="1:16" ht="26.4" x14ac:dyDescent="0.3">
      <c r="A5" s="80" t="s">
        <v>1199</v>
      </c>
      <c r="B5" s="80" t="s">
        <v>1008</v>
      </c>
      <c r="C5" s="80" t="str">
        <f>INDEX(Syn_AI_Inventory!$B$5:$B$34,MATCH(B5,Syn_AI_Inventory!$A$5:$A$34,0))</f>
        <v>CV Screening Assistant</v>
      </c>
      <c r="D5" s="80" t="str">
        <f>INDEX(Syn_Tiering!$Q$5:$Q$34,MATCH(B5,Syn_Tiering!$A$5:$A$34,0))</f>
        <v>T1 - Critical</v>
      </c>
      <c r="E5" s="80" t="s">
        <v>794</v>
      </c>
      <c r="F5" s="80" t="str">
        <f>INDEX(Framework_Map!$C$5:$C$28,MATCH(E5,Framework_Map!$A$5:$A$28,0))</f>
        <v>Lifecycle risk management system for the AI system</v>
      </c>
      <c r="G5" s="80" t="str">
        <f>INDEX(Framework_Map!$D$5:$D$28,MATCH(E5,Framework_Map!$A$5:$A$28,0))</f>
        <v>Art. 9</v>
      </c>
      <c r="H5" s="80" t="str">
        <f>INDEX(Framework_Map!$E$5:$E$28,MATCH(E5,Framework_Map!$A$5:$A$28,0))</f>
        <v>MAP 5.1, MANAGE 1.2</v>
      </c>
      <c r="I5" s="80" t="str">
        <f>INDEX(Framework_Map!$F$5:$F$28,MATCH(E5,Framework_Map!$A$5:$A$28,0))</f>
        <v>Cl. 6.1.2, 6.1.3, 8.2, 8.3</v>
      </c>
      <c r="J5" s="80" t="s">
        <v>86</v>
      </c>
      <c r="K5" s="80" t="s">
        <v>650</v>
      </c>
      <c r="L5" s="80" t="s">
        <v>1200</v>
      </c>
      <c r="M5" s="82">
        <v>0.71</v>
      </c>
      <c r="N5" s="83">
        <f>IF(J5="Implemented",1,IF(J5="Partially Implemented",Config!$B$13,0))</f>
        <v>0</v>
      </c>
      <c r="O5" s="81">
        <v>46279</v>
      </c>
      <c r="P5" s="80" t="s">
        <v>1201</v>
      </c>
    </row>
    <row r="6" spans="1:16" ht="26.4" x14ac:dyDescent="0.3">
      <c r="A6" s="80" t="s">
        <v>1202</v>
      </c>
      <c r="B6" s="80" t="s">
        <v>1008</v>
      </c>
      <c r="C6" s="80" t="str">
        <f>INDEX(Syn_AI_Inventory!$B$5:$B$34,MATCH(B6,Syn_AI_Inventory!$A$5:$A$34,0))</f>
        <v>CV Screening Assistant</v>
      </c>
      <c r="D6" s="80" t="str">
        <f>INDEX(Syn_Tiering!$Q$5:$Q$34,MATCH(B6,Syn_Tiering!$A$5:$A$34,0))</f>
        <v>T1 - Critical</v>
      </c>
      <c r="E6" s="80" t="s">
        <v>802</v>
      </c>
      <c r="F6" s="80" t="str">
        <f>INDEX(Framework_Map!$C$5:$C$28,MATCH(E6,Framework_Map!$A$5:$A$28,0))</f>
        <v>Data quality, provenance, representativeness and bias examination</v>
      </c>
      <c r="G6" s="80" t="str">
        <f>INDEX(Framework_Map!$D$5:$D$28,MATCH(E6,Framework_Map!$A$5:$A$28,0))</f>
        <v>Art. 10</v>
      </c>
      <c r="H6" s="80" t="str">
        <f>INDEX(Framework_Map!$E$5:$E$28,MATCH(E6,Framework_Map!$A$5:$A$28,0))</f>
        <v>MAP 2.3</v>
      </c>
      <c r="I6" s="80" t="str">
        <f>INDEX(Framework_Map!$F$5:$F$28,MATCH(E6,Framework_Map!$A$5:$A$28,0))</f>
        <v>A.7.2, A.7.4, A.7.5</v>
      </c>
      <c r="J6" s="80" t="s">
        <v>86</v>
      </c>
      <c r="K6" s="80" t="s">
        <v>650</v>
      </c>
      <c r="L6" s="80" t="s">
        <v>1203</v>
      </c>
      <c r="M6" s="82">
        <v>0.74</v>
      </c>
      <c r="N6" s="83">
        <f>IF(J6="Implemented",1,IF(J6="Partially Implemented",Config!$B$13,0))</f>
        <v>0</v>
      </c>
      <c r="O6" s="81">
        <v>46282</v>
      </c>
      <c r="P6" s="80" t="s">
        <v>1201</v>
      </c>
    </row>
    <row r="7" spans="1:16" x14ac:dyDescent="0.3">
      <c r="A7" s="80" t="s">
        <v>1204</v>
      </c>
      <c r="B7" s="80" t="s">
        <v>1008</v>
      </c>
      <c r="C7" s="80" t="str">
        <f>INDEX(Syn_AI_Inventory!$B$5:$B$34,MATCH(B7,Syn_AI_Inventory!$A$5:$A$34,0))</f>
        <v>CV Screening Assistant</v>
      </c>
      <c r="D7" s="80" t="str">
        <f>INDEX(Syn_Tiering!$Q$5:$Q$34,MATCH(B7,Syn_Tiering!$A$5:$A$34,0))</f>
        <v>T1 - Critical</v>
      </c>
      <c r="E7" s="80" t="s">
        <v>810</v>
      </c>
      <c r="F7" s="80" t="str">
        <f>INDEX(Framework_Map!$C$5:$C$28,MATCH(E7,Framework_Map!$A$5:$A$28,0))</f>
        <v>Technical documentation kept up to date</v>
      </c>
      <c r="G7" s="80" t="str">
        <f>INDEX(Framework_Map!$D$5:$D$28,MATCH(E7,Framework_Map!$A$5:$A$28,0))</f>
        <v>Art. 11, Annex IV</v>
      </c>
      <c r="H7" s="80" t="str">
        <f>INDEX(Framework_Map!$E$5:$E$28,MATCH(E7,Framework_Map!$A$5:$A$28,0))</f>
        <v>GOVERN 4.2</v>
      </c>
      <c r="I7" s="80" t="str">
        <f>INDEX(Framework_Map!$F$5:$F$28,MATCH(E7,Framework_Map!$A$5:$A$28,0))</f>
        <v>A.6.2.7; A.8.2</v>
      </c>
      <c r="J7" s="80" t="s">
        <v>85</v>
      </c>
      <c r="K7" s="80" t="s">
        <v>1205</v>
      </c>
      <c r="L7" s="80" t="s">
        <v>1203</v>
      </c>
      <c r="M7" s="82">
        <v>0.91</v>
      </c>
      <c r="N7" s="83">
        <f>IF(J7="Implemented",1,IF(J7="Partially Implemented",Config!$B$13,0))</f>
        <v>0.5</v>
      </c>
      <c r="O7" s="81">
        <v>46286</v>
      </c>
      <c r="P7" s="80" t="s">
        <v>1206</v>
      </c>
    </row>
    <row r="8" spans="1:16" ht="26.4" x14ac:dyDescent="0.3">
      <c r="A8" s="80" t="s">
        <v>1207</v>
      </c>
      <c r="B8" s="80" t="s">
        <v>1008</v>
      </c>
      <c r="C8" s="80" t="str">
        <f>INDEX(Syn_AI_Inventory!$B$5:$B$34,MATCH(B8,Syn_AI_Inventory!$A$5:$A$34,0))</f>
        <v>CV Screening Assistant</v>
      </c>
      <c r="D8" s="80" t="str">
        <f>INDEX(Syn_Tiering!$Q$5:$Q$34,MATCH(B8,Syn_Tiering!$A$5:$A$34,0))</f>
        <v>T1 - Critical</v>
      </c>
      <c r="E8" s="80" t="s">
        <v>826</v>
      </c>
      <c r="F8" s="80" t="str">
        <f>INDEX(Framework_Map!$C$5:$C$28,MATCH(E8,Framework_Map!$A$5:$A$28,0))</f>
        <v>Instructions for use and information for deployers</v>
      </c>
      <c r="G8" s="80" t="str">
        <f>INDEX(Framework_Map!$D$5:$D$28,MATCH(E8,Framework_Map!$A$5:$A$28,0))</f>
        <v>Art. 13</v>
      </c>
      <c r="H8" s="80" t="str">
        <f>INDEX(Framework_Map!$E$5:$E$28,MATCH(E8,Framework_Map!$A$5:$A$28,0))</f>
        <v>MEASURE 2.8</v>
      </c>
      <c r="I8" s="80" t="str">
        <f>INDEX(Framework_Map!$F$5:$F$28,MATCH(E8,Framework_Map!$A$5:$A$28,0))</f>
        <v>A.8.2; A.8.5</v>
      </c>
      <c r="J8" s="80" t="s">
        <v>84</v>
      </c>
      <c r="K8" s="80" t="s">
        <v>1208</v>
      </c>
      <c r="L8" s="80" t="s">
        <v>1200</v>
      </c>
      <c r="M8" s="82">
        <v>0.76</v>
      </c>
      <c r="N8" s="83">
        <f>IF(J8="Implemented",1,IF(J8="Partially Implemented",Config!$B$13,0))</f>
        <v>1</v>
      </c>
      <c r="O8" s="81">
        <v>46278</v>
      </c>
      <c r="P8" s="80" t="s">
        <v>1209</v>
      </c>
    </row>
    <row r="9" spans="1:16" ht="26.4" x14ac:dyDescent="0.3">
      <c r="A9" s="80" t="s">
        <v>1210</v>
      </c>
      <c r="B9" s="80" t="s">
        <v>1008</v>
      </c>
      <c r="C9" s="80" t="str">
        <f>INDEX(Syn_AI_Inventory!$B$5:$B$34,MATCH(B9,Syn_AI_Inventory!$A$5:$A$34,0))</f>
        <v>CV Screening Assistant</v>
      </c>
      <c r="D9" s="80" t="str">
        <f>INDEX(Syn_Tiering!$Q$5:$Q$34,MATCH(B9,Syn_Tiering!$A$5:$A$34,0))</f>
        <v>T1 - Critical</v>
      </c>
      <c r="E9" s="80" t="s">
        <v>867</v>
      </c>
      <c r="F9" s="80" t="str">
        <f>INDEX(Framework_Map!$C$5:$C$28,MATCH(E9,Framework_Map!$A$5:$A$28,0))</f>
        <v>Conformity assessment, declaration of conformity, CE marking</v>
      </c>
      <c r="G9" s="80" t="str">
        <f>INDEX(Framework_Map!$D$5:$D$28,MATCH(E9,Framework_Map!$A$5:$A$28,0))</f>
        <v>Art. 43, 47, 48</v>
      </c>
      <c r="H9" s="80" t="str">
        <f>INDEX(Framework_Map!$E$5:$E$28,MATCH(E9,Framework_Map!$A$5:$A$28,0))</f>
        <v>GOVERN 1.1</v>
      </c>
      <c r="I9" s="80" t="str">
        <f>INDEX(Framework_Map!$F$5:$F$28,MATCH(E9,Framework_Map!$A$5:$A$28,0))</f>
        <v>Cl. 9.2 (closest)</v>
      </c>
      <c r="J9" s="80" t="s">
        <v>85</v>
      </c>
      <c r="K9" s="80" t="s">
        <v>1211</v>
      </c>
      <c r="L9" s="80" t="s">
        <v>1203</v>
      </c>
      <c r="M9" s="82">
        <v>0.8</v>
      </c>
      <c r="N9" s="83">
        <f>IF(J9="Implemented",1,IF(J9="Partially Implemented",Config!$B$13,0))</f>
        <v>0.5</v>
      </c>
      <c r="O9" s="81">
        <v>46266</v>
      </c>
      <c r="P9" s="80" t="s">
        <v>1212</v>
      </c>
    </row>
    <row r="10" spans="1:16" x14ac:dyDescent="0.3">
      <c r="A10" s="80" t="s">
        <v>1213</v>
      </c>
      <c r="B10" s="80" t="s">
        <v>1008</v>
      </c>
      <c r="C10" s="80" t="str">
        <f>INDEX(Syn_AI_Inventory!$B$5:$B$34,MATCH(B10,Syn_AI_Inventory!$A$5:$A$34,0))</f>
        <v>CV Screening Assistant</v>
      </c>
      <c r="D10" s="80" t="str">
        <f>INDEX(Syn_Tiering!$Q$5:$Q$34,MATCH(B10,Syn_Tiering!$A$5:$A$34,0))</f>
        <v>T1 - Critical</v>
      </c>
      <c r="E10" s="80" t="s">
        <v>881</v>
      </c>
      <c r="F10" s="80" t="str">
        <f>INDEX(Framework_Map!$C$5:$C$28,MATCH(E10,Framework_Map!$A$5:$A$28,0))</f>
        <v>Post-market / post-deployment monitoring plan</v>
      </c>
      <c r="G10" s="80" t="str">
        <f>INDEX(Framework_Map!$D$5:$D$28,MATCH(E10,Framework_Map!$A$5:$A$28,0))</f>
        <v>Art. 72</v>
      </c>
      <c r="H10" s="80" t="str">
        <f>INDEX(Framework_Map!$E$5:$E$28,MATCH(E10,Framework_Map!$A$5:$A$28,0))</f>
        <v>MANAGE 4.1</v>
      </c>
      <c r="I10" s="80" t="str">
        <f>INDEX(Framework_Map!$F$5:$F$28,MATCH(E10,Framework_Map!$A$5:$A$28,0))</f>
        <v>Cl. 9.1; A.6.2.6</v>
      </c>
      <c r="J10" s="80" t="s">
        <v>86</v>
      </c>
      <c r="K10" s="80" t="s">
        <v>650</v>
      </c>
      <c r="L10" s="80" t="s">
        <v>1203</v>
      </c>
      <c r="M10" s="82">
        <v>0.85</v>
      </c>
      <c r="N10" s="83">
        <f>IF(J10="Implemented",1,IF(J10="Partially Implemented",Config!$B$13,0))</f>
        <v>0</v>
      </c>
      <c r="O10" s="81">
        <v>46290</v>
      </c>
      <c r="P10" s="80" t="s">
        <v>1201</v>
      </c>
    </row>
    <row r="11" spans="1:16" x14ac:dyDescent="0.3">
      <c r="A11" s="80" t="s">
        <v>1214</v>
      </c>
      <c r="B11" s="80" t="s">
        <v>1008</v>
      </c>
      <c r="C11" s="80" t="str">
        <f>INDEX(Syn_AI_Inventory!$B$5:$B$34,MATCH(B11,Syn_AI_Inventory!$A$5:$A$34,0))</f>
        <v>CV Screening Assistant</v>
      </c>
      <c r="D11" s="80" t="str">
        <f>INDEX(Syn_Tiering!$Q$5:$Q$34,MATCH(B11,Syn_Tiering!$A$5:$A$34,0))</f>
        <v>T1 - Critical</v>
      </c>
      <c r="E11" s="80" t="s">
        <v>887</v>
      </c>
      <c r="F11" s="80" t="str">
        <f>INDEX(Framework_Map!$C$5:$C$28,MATCH(E11,Framework_Map!$A$5:$A$28,0))</f>
        <v>Serious incident reporting procedure</v>
      </c>
      <c r="G11" s="80" t="str">
        <f>INDEX(Framework_Map!$D$5:$D$28,MATCH(E11,Framework_Map!$A$5:$A$28,0))</f>
        <v>Art. 73</v>
      </c>
      <c r="H11" s="80" t="str">
        <f>INDEX(Framework_Map!$E$5:$E$28,MATCH(E11,Framework_Map!$A$5:$A$28,0))</f>
        <v>MANAGE 4.3</v>
      </c>
      <c r="I11" s="80" t="str">
        <f>INDEX(Framework_Map!$F$5:$F$28,MATCH(E11,Framework_Map!$A$5:$A$28,0))</f>
        <v>A.8.4; Cl. 10.2</v>
      </c>
      <c r="J11" s="80" t="s">
        <v>84</v>
      </c>
      <c r="K11" s="80" t="s">
        <v>1215</v>
      </c>
      <c r="L11" s="80" t="s">
        <v>1200</v>
      </c>
      <c r="M11" s="82">
        <v>0.74</v>
      </c>
      <c r="N11" s="83">
        <f>IF(J11="Implemented",1,IF(J11="Partially Implemented",Config!$B$13,0))</f>
        <v>1</v>
      </c>
      <c r="O11" s="81">
        <v>46279</v>
      </c>
      <c r="P11" s="80" t="s">
        <v>1209</v>
      </c>
    </row>
    <row r="12" spans="1:16" ht="26.4" x14ac:dyDescent="0.3">
      <c r="A12" s="80" t="s">
        <v>1216</v>
      </c>
      <c r="B12" s="80" t="s">
        <v>1008</v>
      </c>
      <c r="C12" s="80" t="str">
        <f>INDEX(Syn_AI_Inventory!$B$5:$B$34,MATCH(B12,Syn_AI_Inventory!$A$5:$A$34,0))</f>
        <v>CV Screening Assistant</v>
      </c>
      <c r="D12" s="80" t="str">
        <f>INDEX(Syn_Tiering!$Q$5:$Q$34,MATCH(B12,Syn_Tiering!$A$5:$A$34,0))</f>
        <v>T1 - Critical</v>
      </c>
      <c r="E12" s="80" t="s">
        <v>916</v>
      </c>
      <c r="F12" s="80" t="str">
        <f>INDEX(Framework_Map!$C$5:$C$28,MATCH(E12,Framework_Map!$A$5:$A$28,0))</f>
        <v>Use per instructions, monitor operation, retain logs, inform workers</v>
      </c>
      <c r="G12" s="80" t="str">
        <f>INDEX(Framework_Map!$D$5:$D$28,MATCH(E12,Framework_Map!$A$5:$A$28,0))</f>
        <v>Art. 26</v>
      </c>
      <c r="H12" s="80" t="str">
        <f>INDEX(Framework_Map!$E$5:$E$28,MATCH(E12,Framework_Map!$A$5:$A$28,0))</f>
        <v>MANAGE 4.1</v>
      </c>
      <c r="I12" s="80" t="str">
        <f>INDEX(Framework_Map!$F$5:$F$28,MATCH(E12,Framework_Map!$A$5:$A$28,0))</f>
        <v>A.9.2; A.9.4</v>
      </c>
      <c r="J12" s="80" t="s">
        <v>84</v>
      </c>
      <c r="K12" s="80" t="s">
        <v>1217</v>
      </c>
      <c r="L12" s="80" t="s">
        <v>1203</v>
      </c>
      <c r="M12" s="82">
        <v>0.94</v>
      </c>
      <c r="N12" s="83">
        <f>IF(J12="Implemented",1,IF(J12="Partially Implemented",Config!$B$13,0))</f>
        <v>1</v>
      </c>
      <c r="O12" s="81">
        <v>46282</v>
      </c>
      <c r="P12" s="80" t="s">
        <v>1209</v>
      </c>
    </row>
    <row r="13" spans="1:16" ht="26.4" x14ac:dyDescent="0.3">
      <c r="A13" s="80" t="s">
        <v>1218</v>
      </c>
      <c r="B13" s="80" t="s">
        <v>1020</v>
      </c>
      <c r="C13" s="80" t="str">
        <f>INDEX(Syn_AI_Inventory!$B$5:$B$34,MATCH(B13,Syn_AI_Inventory!$A$5:$A$34,0))</f>
        <v>Retail Credit Scoring Model</v>
      </c>
      <c r="D13" s="80" t="str">
        <f>INDEX(Syn_Tiering!$Q$5:$Q$34,MATCH(B13,Syn_Tiering!$A$5:$A$34,0))</f>
        <v>T1 - Critical</v>
      </c>
      <c r="E13" s="80" t="s">
        <v>794</v>
      </c>
      <c r="F13" s="80" t="str">
        <f>INDEX(Framework_Map!$C$5:$C$28,MATCH(E13,Framework_Map!$A$5:$A$28,0))</f>
        <v>Lifecycle risk management system for the AI system</v>
      </c>
      <c r="G13" s="80" t="str">
        <f>INDEX(Framework_Map!$D$5:$D$28,MATCH(E13,Framework_Map!$A$5:$A$28,0))</f>
        <v>Art. 9</v>
      </c>
      <c r="H13" s="80" t="str">
        <f>INDEX(Framework_Map!$E$5:$E$28,MATCH(E13,Framework_Map!$A$5:$A$28,0))</f>
        <v>MAP 5.1, MANAGE 1.2</v>
      </c>
      <c r="I13" s="80" t="str">
        <f>INDEX(Framework_Map!$F$5:$F$28,MATCH(E13,Framework_Map!$A$5:$A$28,0))</f>
        <v>Cl. 6.1.2, 6.1.3, 8.2, 8.3</v>
      </c>
      <c r="J13" s="80" t="s">
        <v>84</v>
      </c>
      <c r="K13" s="80" t="s">
        <v>1219</v>
      </c>
      <c r="L13" s="80" t="s">
        <v>1200</v>
      </c>
      <c r="M13" s="82">
        <v>0.93</v>
      </c>
      <c r="N13" s="83">
        <f>IF(J13="Implemented",1,IF(J13="Partially Implemented",Config!$B$13,0))</f>
        <v>1</v>
      </c>
      <c r="O13" s="81">
        <v>46276</v>
      </c>
      <c r="P13" s="80" t="s">
        <v>1209</v>
      </c>
    </row>
    <row r="14" spans="1:16" ht="26.4" x14ac:dyDescent="0.3">
      <c r="A14" s="80" t="s">
        <v>1220</v>
      </c>
      <c r="B14" s="80" t="s">
        <v>1020</v>
      </c>
      <c r="C14" s="80" t="str">
        <f>INDEX(Syn_AI_Inventory!$B$5:$B$34,MATCH(B14,Syn_AI_Inventory!$A$5:$A$34,0))</f>
        <v>Retail Credit Scoring Model</v>
      </c>
      <c r="D14" s="80" t="str">
        <f>INDEX(Syn_Tiering!$Q$5:$Q$34,MATCH(B14,Syn_Tiering!$A$5:$A$34,0))</f>
        <v>T1 - Critical</v>
      </c>
      <c r="E14" s="80" t="s">
        <v>802</v>
      </c>
      <c r="F14" s="80" t="str">
        <f>INDEX(Framework_Map!$C$5:$C$28,MATCH(E14,Framework_Map!$A$5:$A$28,0))</f>
        <v>Data quality, provenance, representativeness and bias examination</v>
      </c>
      <c r="G14" s="80" t="str">
        <f>INDEX(Framework_Map!$D$5:$D$28,MATCH(E14,Framework_Map!$A$5:$A$28,0))</f>
        <v>Art. 10</v>
      </c>
      <c r="H14" s="80" t="str">
        <f>INDEX(Framework_Map!$E$5:$E$28,MATCH(E14,Framework_Map!$A$5:$A$28,0))</f>
        <v>MAP 2.3</v>
      </c>
      <c r="I14" s="80" t="str">
        <f>INDEX(Framework_Map!$F$5:$F$28,MATCH(E14,Framework_Map!$A$5:$A$28,0))</f>
        <v>A.7.2, A.7.4, A.7.5</v>
      </c>
      <c r="J14" s="80" t="s">
        <v>85</v>
      </c>
      <c r="K14" s="80" t="s">
        <v>1221</v>
      </c>
      <c r="L14" s="80" t="s">
        <v>1203</v>
      </c>
      <c r="M14" s="82">
        <v>0.94</v>
      </c>
      <c r="N14" s="83">
        <f>IF(J14="Implemented",1,IF(J14="Partially Implemented",Config!$B$13,0))</f>
        <v>0.5</v>
      </c>
      <c r="O14" s="81">
        <v>46273</v>
      </c>
      <c r="P14" s="80" t="s">
        <v>1222</v>
      </c>
    </row>
    <row r="15" spans="1:16" x14ac:dyDescent="0.3">
      <c r="A15" s="80" t="s">
        <v>1223</v>
      </c>
      <c r="B15" s="80" t="s">
        <v>1020</v>
      </c>
      <c r="C15" s="80" t="str">
        <f>INDEX(Syn_AI_Inventory!$B$5:$B$34,MATCH(B15,Syn_AI_Inventory!$A$5:$A$34,0))</f>
        <v>Retail Credit Scoring Model</v>
      </c>
      <c r="D15" s="80" t="str">
        <f>INDEX(Syn_Tiering!$Q$5:$Q$34,MATCH(B15,Syn_Tiering!$A$5:$A$34,0))</f>
        <v>T1 - Critical</v>
      </c>
      <c r="E15" s="80" t="s">
        <v>818</v>
      </c>
      <c r="F15" s="80" t="str">
        <f>INDEX(Framework_Map!$C$5:$C$28,MATCH(E15,Framework_Map!$A$5:$A$28,0))</f>
        <v>Automatic event logging and retention</v>
      </c>
      <c r="G15" s="80" t="str">
        <f>INDEX(Framework_Map!$D$5:$D$28,MATCH(E15,Framework_Map!$A$5:$A$28,0))</f>
        <v>Art. 12</v>
      </c>
      <c r="H15" s="80" t="str">
        <f>INDEX(Framework_Map!$E$5:$E$28,MATCH(E15,Framework_Map!$A$5:$A$28,0))</f>
        <v>MANAGE 4.1</v>
      </c>
      <c r="I15" s="80" t="str">
        <f>INDEX(Framework_Map!$F$5:$F$28,MATCH(E15,Framework_Map!$A$5:$A$28,0))</f>
        <v>A.6.2.8</v>
      </c>
      <c r="J15" s="80" t="s">
        <v>84</v>
      </c>
      <c r="K15" s="80" t="s">
        <v>1224</v>
      </c>
      <c r="L15" s="80" t="s">
        <v>1200</v>
      </c>
      <c r="M15" s="82">
        <v>0.94</v>
      </c>
      <c r="N15" s="83">
        <f>IF(J15="Implemented",1,IF(J15="Partially Implemented",Config!$B$13,0))</f>
        <v>1</v>
      </c>
      <c r="O15" s="81">
        <v>46289</v>
      </c>
      <c r="P15" s="80" t="s">
        <v>1209</v>
      </c>
    </row>
    <row r="16" spans="1:16" ht="26.4" x14ac:dyDescent="0.3">
      <c r="A16" s="80" t="s">
        <v>1225</v>
      </c>
      <c r="B16" s="80" t="s">
        <v>1020</v>
      </c>
      <c r="C16" s="80" t="str">
        <f>INDEX(Syn_AI_Inventory!$B$5:$B$34,MATCH(B16,Syn_AI_Inventory!$A$5:$A$34,0))</f>
        <v>Retail Credit Scoring Model</v>
      </c>
      <c r="D16" s="80" t="str">
        <f>INDEX(Syn_Tiering!$Q$5:$Q$34,MATCH(B16,Syn_Tiering!$A$5:$A$34,0))</f>
        <v>T1 - Critical</v>
      </c>
      <c r="E16" s="80" t="s">
        <v>826</v>
      </c>
      <c r="F16" s="80" t="str">
        <f>INDEX(Framework_Map!$C$5:$C$28,MATCH(E16,Framework_Map!$A$5:$A$28,0))</f>
        <v>Instructions for use and information for deployers</v>
      </c>
      <c r="G16" s="80" t="str">
        <f>INDEX(Framework_Map!$D$5:$D$28,MATCH(E16,Framework_Map!$A$5:$A$28,0))</f>
        <v>Art. 13</v>
      </c>
      <c r="H16" s="80" t="str">
        <f>INDEX(Framework_Map!$E$5:$E$28,MATCH(E16,Framework_Map!$A$5:$A$28,0))</f>
        <v>MEASURE 2.8</v>
      </c>
      <c r="I16" s="80" t="str">
        <f>INDEX(Framework_Map!$F$5:$F$28,MATCH(E16,Framework_Map!$A$5:$A$28,0))</f>
        <v>A.8.2; A.8.5</v>
      </c>
      <c r="J16" s="80" t="s">
        <v>85</v>
      </c>
      <c r="K16" s="80" t="s">
        <v>1226</v>
      </c>
      <c r="L16" s="80" t="s">
        <v>1203</v>
      </c>
      <c r="M16" s="82">
        <v>0.95</v>
      </c>
      <c r="N16" s="83">
        <f>IF(J16="Implemented",1,IF(J16="Partially Implemented",Config!$B$13,0))</f>
        <v>0.5</v>
      </c>
      <c r="O16" s="81">
        <v>46290</v>
      </c>
      <c r="P16" s="80" t="s">
        <v>1212</v>
      </c>
    </row>
    <row r="17" spans="1:16" ht="26.4" x14ac:dyDescent="0.3">
      <c r="A17" s="80" t="s">
        <v>1227</v>
      </c>
      <c r="B17" s="80" t="s">
        <v>1020</v>
      </c>
      <c r="C17" s="80" t="str">
        <f>INDEX(Syn_AI_Inventory!$B$5:$B$34,MATCH(B17,Syn_AI_Inventory!$A$5:$A$34,0))</f>
        <v>Retail Credit Scoring Model</v>
      </c>
      <c r="D17" s="80" t="str">
        <f>INDEX(Syn_Tiering!$Q$5:$Q$34,MATCH(B17,Syn_Tiering!$A$5:$A$34,0))</f>
        <v>T1 - Critical</v>
      </c>
      <c r="E17" s="80" t="s">
        <v>647</v>
      </c>
      <c r="F17" s="80" t="str">
        <f>INDEX(Framework_Map!$C$5:$C$28,MATCH(E17,Framework_Map!$A$5:$A$28,0))</f>
        <v>Bias and fairness testing with subgroup analysis</v>
      </c>
      <c r="G17" s="80" t="str">
        <f>INDEX(Framework_Map!$D$5:$D$28,MATCH(E17,Framework_Map!$A$5:$A$28,0))</f>
        <v>Art. 10(2)</v>
      </c>
      <c r="H17" s="80" t="str">
        <f>INDEX(Framework_Map!$E$5:$E$28,MATCH(E17,Framework_Map!$A$5:$A$28,0))</f>
        <v>MEASURE 2.11</v>
      </c>
      <c r="I17" s="80" t="str">
        <f>INDEX(Framework_Map!$F$5:$F$28,MATCH(E17,Framework_Map!$A$5:$A$28,0))</f>
        <v>A.5.4; A.6.2.4</v>
      </c>
      <c r="J17" s="80" t="s">
        <v>84</v>
      </c>
      <c r="K17" s="80" t="s">
        <v>1228</v>
      </c>
      <c r="L17" s="80" t="s">
        <v>1200</v>
      </c>
      <c r="M17" s="82">
        <v>0.78</v>
      </c>
      <c r="N17" s="83">
        <f>IF(J17="Implemented",1,IF(J17="Partially Implemented",Config!$B$13,0))</f>
        <v>1</v>
      </c>
      <c r="O17" s="81">
        <v>46271</v>
      </c>
      <c r="P17" s="80" t="s">
        <v>1209</v>
      </c>
    </row>
    <row r="18" spans="1:16" ht="26.4" x14ac:dyDescent="0.3">
      <c r="A18" s="80" t="s">
        <v>1229</v>
      </c>
      <c r="B18" s="80" t="s">
        <v>1020</v>
      </c>
      <c r="C18" s="80" t="str">
        <f>INDEX(Syn_AI_Inventory!$B$5:$B$34,MATCH(B18,Syn_AI_Inventory!$A$5:$A$34,0))</f>
        <v>Retail Credit Scoring Model</v>
      </c>
      <c r="D18" s="80" t="str">
        <f>INDEX(Syn_Tiering!$Q$5:$Q$34,MATCH(B18,Syn_Tiering!$A$5:$A$34,0))</f>
        <v>T1 - Critical</v>
      </c>
      <c r="E18" s="80" t="s">
        <v>867</v>
      </c>
      <c r="F18" s="80" t="str">
        <f>INDEX(Framework_Map!$C$5:$C$28,MATCH(E18,Framework_Map!$A$5:$A$28,0))</f>
        <v>Conformity assessment, declaration of conformity, CE marking</v>
      </c>
      <c r="G18" s="80" t="str">
        <f>INDEX(Framework_Map!$D$5:$D$28,MATCH(E18,Framework_Map!$A$5:$A$28,0))</f>
        <v>Art. 43, 47, 48</v>
      </c>
      <c r="H18" s="80" t="str">
        <f>INDEX(Framework_Map!$E$5:$E$28,MATCH(E18,Framework_Map!$A$5:$A$28,0))</f>
        <v>GOVERN 1.1</v>
      </c>
      <c r="I18" s="80" t="str">
        <f>INDEX(Framework_Map!$F$5:$F$28,MATCH(E18,Framework_Map!$A$5:$A$28,0))</f>
        <v>Cl. 9.2 (closest)</v>
      </c>
      <c r="J18" s="80" t="s">
        <v>84</v>
      </c>
      <c r="K18" s="80" t="s">
        <v>1230</v>
      </c>
      <c r="L18" s="80" t="s">
        <v>1200</v>
      </c>
      <c r="M18" s="82">
        <v>0.76</v>
      </c>
      <c r="N18" s="83">
        <f>IF(J18="Implemented",1,IF(J18="Partially Implemented",Config!$B$13,0))</f>
        <v>1</v>
      </c>
      <c r="O18" s="81">
        <v>46283</v>
      </c>
      <c r="P18" s="80" t="s">
        <v>1209</v>
      </c>
    </row>
    <row r="19" spans="1:16" ht="26.4" x14ac:dyDescent="0.3">
      <c r="A19" s="80" t="s">
        <v>1231</v>
      </c>
      <c r="B19" s="80" t="s">
        <v>1020</v>
      </c>
      <c r="C19" s="80" t="str">
        <f>INDEX(Syn_AI_Inventory!$B$5:$B$34,MATCH(B19,Syn_AI_Inventory!$A$5:$A$34,0))</f>
        <v>Retail Credit Scoring Model</v>
      </c>
      <c r="D19" s="80" t="str">
        <f>INDEX(Syn_Tiering!$Q$5:$Q$34,MATCH(B19,Syn_Tiering!$A$5:$A$34,0))</f>
        <v>T1 - Critical</v>
      </c>
      <c r="E19" s="80" t="s">
        <v>901</v>
      </c>
      <c r="F19" s="80" t="str">
        <f>INDEX(Framework_Map!$C$5:$C$28,MATCH(E19,Framework_Map!$A$5:$A$28,0))</f>
        <v>Supply-chain AI risk: supplier documentation, contracts, responsibilities</v>
      </c>
      <c r="G19" s="80" t="str">
        <f>INDEX(Framework_Map!$D$5:$D$28,MATCH(E19,Framework_Map!$A$5:$A$28,0))</f>
        <v>Art. 25</v>
      </c>
      <c r="H19" s="80" t="str">
        <f>INDEX(Framework_Map!$E$5:$E$28,MATCH(E19,Framework_Map!$A$5:$A$28,0))</f>
        <v>GOVERN 6.1, MAP 4.1</v>
      </c>
      <c r="I19" s="80" t="str">
        <f>INDEX(Framework_Map!$F$5:$F$28,MATCH(E19,Framework_Map!$A$5:$A$28,0))</f>
        <v>A.10.2, A.10.3</v>
      </c>
      <c r="J19" s="80" t="s">
        <v>86</v>
      </c>
      <c r="K19" s="80" t="s">
        <v>650</v>
      </c>
      <c r="L19" s="80" t="s">
        <v>1200</v>
      </c>
      <c r="M19" s="82">
        <v>0.69</v>
      </c>
      <c r="N19" s="83">
        <f>IF(J19="Implemented",1,IF(J19="Partially Implemented",Config!$B$13,0))</f>
        <v>0</v>
      </c>
      <c r="O19" s="81">
        <v>46278</v>
      </c>
      <c r="P19" s="80" t="s">
        <v>1201</v>
      </c>
    </row>
    <row r="20" spans="1:16" x14ac:dyDescent="0.3">
      <c r="A20" s="80" t="s">
        <v>1232</v>
      </c>
      <c r="B20" s="80" t="s">
        <v>1020</v>
      </c>
      <c r="C20" s="80" t="str">
        <f>INDEX(Syn_AI_Inventory!$B$5:$B$34,MATCH(B20,Syn_AI_Inventory!$A$5:$A$34,0))</f>
        <v>Retail Credit Scoring Model</v>
      </c>
      <c r="D20" s="80" t="str">
        <f>INDEX(Syn_Tiering!$Q$5:$Q$34,MATCH(B20,Syn_Tiering!$A$5:$A$34,0))</f>
        <v>T1 - Critical</v>
      </c>
      <c r="E20" s="80" t="s">
        <v>944</v>
      </c>
      <c r="F20" s="80" t="str">
        <f>INDEX(Framework_Map!$C$5:$C$28,MATCH(E20,Framework_Map!$A$5:$A$28,0))</f>
        <v>Corrective action and lessons-learned loop</v>
      </c>
      <c r="G20" s="80" t="str">
        <f>INDEX(Framework_Map!$D$5:$D$28,MATCH(E20,Framework_Map!$A$5:$A$28,0))</f>
        <v>—</v>
      </c>
      <c r="H20" s="80" t="str">
        <f>INDEX(Framework_Map!$E$5:$E$28,MATCH(E20,Framework_Map!$A$5:$A$28,0))</f>
        <v>MANAGE 4.2</v>
      </c>
      <c r="I20" s="80" t="str">
        <f>INDEX(Framework_Map!$F$5:$F$28,MATCH(E20,Framework_Map!$A$5:$A$28,0))</f>
        <v>Cl. 10.1, 10.2</v>
      </c>
      <c r="J20" s="80" t="s">
        <v>87</v>
      </c>
      <c r="K20" s="80" t="s">
        <v>650</v>
      </c>
      <c r="L20" s="80" t="s">
        <v>1200</v>
      </c>
      <c r="M20" s="82">
        <v>0.75</v>
      </c>
      <c r="N20" s="83">
        <f>IF(J20="Implemented",1,IF(J20="Partially Implemented",Config!$B$13,0))</f>
        <v>0</v>
      </c>
      <c r="O20" s="81">
        <v>46280</v>
      </c>
      <c r="P20" s="80" t="s">
        <v>1233</v>
      </c>
    </row>
    <row r="21" spans="1:16" ht="26.4" x14ac:dyDescent="0.3">
      <c r="A21" s="80" t="s">
        <v>1234</v>
      </c>
      <c r="B21" s="80" t="s">
        <v>1028</v>
      </c>
      <c r="C21" s="80" t="str">
        <f>INDEX(Syn_AI_Inventory!$B$5:$B$34,MATCH(B21,Syn_AI_Inventory!$A$5:$A$34,0))</f>
        <v>Aria Customer Service Chatbot</v>
      </c>
      <c r="D21" s="80" t="str">
        <f>INDEX(Syn_Tiering!$Q$5:$Q$34,MATCH(B21,Syn_Tiering!$A$5:$A$34,0))</f>
        <v>T2 - Elevated</v>
      </c>
      <c r="E21" s="80" t="s">
        <v>777</v>
      </c>
      <c r="F21" s="80" t="str">
        <f>INDEX(Framework_Map!$C$5:$C$28,MATCH(E21,Framework_Map!$A$5:$A$28,0))</f>
        <v>Maintain AI system inventory with documented risk classification</v>
      </c>
      <c r="G21" s="80" t="str">
        <f>INDEX(Framework_Map!$D$5:$D$28,MATCH(E21,Framework_Map!$A$5:$A$28,0))</f>
        <v>Art. 6, Annex III; Art. 49 (registration)</v>
      </c>
      <c r="H21" s="80" t="str">
        <f>INDEX(Framework_Map!$E$5:$E$28,MATCH(E21,Framework_Map!$A$5:$A$28,0))</f>
        <v>GOVERN 1.6</v>
      </c>
      <c r="I21" s="80" t="str">
        <f>INDEX(Framework_Map!$F$5:$F$28,MATCH(E21,Framework_Map!$A$5:$A$28,0))</f>
        <v>Cl. 4.3; A.4.2</v>
      </c>
      <c r="J21" s="80" t="s">
        <v>84</v>
      </c>
      <c r="K21" s="80" t="s">
        <v>1235</v>
      </c>
      <c r="L21" s="80" t="s">
        <v>1200</v>
      </c>
      <c r="M21" s="82">
        <v>0.81</v>
      </c>
      <c r="N21" s="83">
        <f>IF(J21="Implemented",1,IF(J21="Partially Implemented",Config!$B$13,0))</f>
        <v>1</v>
      </c>
      <c r="O21" s="81">
        <v>46273</v>
      </c>
      <c r="P21" s="80" t="s">
        <v>1209</v>
      </c>
    </row>
    <row r="22" spans="1:16" ht="26.4" x14ac:dyDescent="0.3">
      <c r="A22" s="80" t="s">
        <v>1236</v>
      </c>
      <c r="B22" s="80" t="s">
        <v>1028</v>
      </c>
      <c r="C22" s="80" t="str">
        <f>INDEX(Syn_AI_Inventory!$B$5:$B$34,MATCH(B22,Syn_AI_Inventory!$A$5:$A$34,0))</f>
        <v>Aria Customer Service Chatbot</v>
      </c>
      <c r="D22" s="80" t="str">
        <f>INDEX(Syn_Tiering!$Q$5:$Q$34,MATCH(B22,Syn_Tiering!$A$5:$A$34,0))</f>
        <v>T2 - Elevated</v>
      </c>
      <c r="E22" s="80" t="s">
        <v>787</v>
      </c>
      <c r="F22" s="80" t="str">
        <f>INDEX(Framework_Map!$C$5:$C$28,MATCH(E22,Framework_Map!$A$5:$A$28,0))</f>
        <v>Defined AI policy, roles and accountability</v>
      </c>
      <c r="G22" s="80" t="str">
        <f>INDEX(Framework_Map!$D$5:$D$28,MATCH(E22,Framework_Map!$A$5:$A$28,0))</f>
        <v>Art. 17 (QMS); Art. 26</v>
      </c>
      <c r="H22" s="80" t="str">
        <f>INDEX(Framework_Map!$E$5:$E$28,MATCH(E22,Framework_Map!$A$5:$A$28,0))</f>
        <v>GOVERN 1.2, GOVERN 2.1</v>
      </c>
      <c r="I22" s="80" t="str">
        <f>INDEX(Framework_Map!$F$5:$F$28,MATCH(E22,Framework_Map!$A$5:$A$28,0))</f>
        <v>Cl. 5.2, 5.3; A.2.2; A.3.2</v>
      </c>
      <c r="J22" s="80" t="s">
        <v>84</v>
      </c>
      <c r="K22" s="80" t="s">
        <v>1237</v>
      </c>
      <c r="L22" s="80" t="s">
        <v>1200</v>
      </c>
      <c r="M22" s="82">
        <v>0.83</v>
      </c>
      <c r="N22" s="83">
        <f>IF(J22="Implemented",1,IF(J22="Partially Implemented",Config!$B$13,0))</f>
        <v>1</v>
      </c>
      <c r="O22" s="81">
        <v>46268</v>
      </c>
      <c r="P22" s="80" t="s">
        <v>1209</v>
      </c>
    </row>
    <row r="23" spans="1:16" ht="26.4" x14ac:dyDescent="0.3">
      <c r="A23" s="80" t="s">
        <v>1238</v>
      </c>
      <c r="B23" s="80" t="s">
        <v>1028</v>
      </c>
      <c r="C23" s="80" t="str">
        <f>INDEX(Syn_AI_Inventory!$B$5:$B$34,MATCH(B23,Syn_AI_Inventory!$A$5:$A$34,0))</f>
        <v>Aria Customer Service Chatbot</v>
      </c>
      <c r="D23" s="80" t="str">
        <f>INDEX(Syn_Tiering!$Q$5:$Q$34,MATCH(B23,Syn_Tiering!$A$5:$A$34,0))</f>
        <v>T2 - Elevated</v>
      </c>
      <c r="E23" s="80" t="s">
        <v>901</v>
      </c>
      <c r="F23" s="80" t="str">
        <f>INDEX(Framework_Map!$C$5:$C$28,MATCH(E23,Framework_Map!$A$5:$A$28,0))</f>
        <v>Supply-chain AI risk: supplier documentation, contracts, responsibilities</v>
      </c>
      <c r="G23" s="80" t="str">
        <f>INDEX(Framework_Map!$D$5:$D$28,MATCH(E23,Framework_Map!$A$5:$A$28,0))</f>
        <v>Art. 25</v>
      </c>
      <c r="H23" s="80" t="str">
        <f>INDEX(Framework_Map!$E$5:$E$28,MATCH(E23,Framework_Map!$A$5:$A$28,0))</f>
        <v>GOVERN 6.1, MAP 4.1</v>
      </c>
      <c r="I23" s="80" t="str">
        <f>INDEX(Framework_Map!$F$5:$F$28,MATCH(E23,Framework_Map!$A$5:$A$28,0))</f>
        <v>A.10.2, A.10.3</v>
      </c>
      <c r="J23" s="80" t="s">
        <v>86</v>
      </c>
      <c r="K23" s="80" t="s">
        <v>650</v>
      </c>
      <c r="L23" s="80" t="s">
        <v>1203</v>
      </c>
      <c r="M23" s="82">
        <v>0.64</v>
      </c>
      <c r="N23" s="83">
        <f>IF(J23="Implemented",1,IF(J23="Partially Implemented",Config!$B$13,0))</f>
        <v>0</v>
      </c>
      <c r="O23" s="81">
        <v>46274</v>
      </c>
      <c r="P23" s="80" t="s">
        <v>1201</v>
      </c>
    </row>
    <row r="24" spans="1:16" x14ac:dyDescent="0.3">
      <c r="A24" s="80" t="s">
        <v>1239</v>
      </c>
      <c r="B24" s="80" t="s">
        <v>1028</v>
      </c>
      <c r="C24" s="80" t="str">
        <f>INDEX(Syn_AI_Inventory!$B$5:$B$34,MATCH(B24,Syn_AI_Inventory!$A$5:$A$34,0))</f>
        <v>Aria Customer Service Chatbot</v>
      </c>
      <c r="D24" s="80" t="str">
        <f>INDEX(Syn_Tiering!$Q$5:$Q$34,MATCH(B24,Syn_Tiering!$A$5:$A$34,0))</f>
        <v>T2 - Elevated</v>
      </c>
      <c r="E24" s="80" t="s">
        <v>944</v>
      </c>
      <c r="F24" s="80" t="str">
        <f>INDEX(Framework_Map!$C$5:$C$28,MATCH(E24,Framework_Map!$A$5:$A$28,0))</f>
        <v>Corrective action and lessons-learned loop</v>
      </c>
      <c r="G24" s="80" t="str">
        <f>INDEX(Framework_Map!$D$5:$D$28,MATCH(E24,Framework_Map!$A$5:$A$28,0))</f>
        <v>—</v>
      </c>
      <c r="H24" s="80" t="str">
        <f>INDEX(Framework_Map!$E$5:$E$28,MATCH(E24,Framework_Map!$A$5:$A$28,0))</f>
        <v>MANAGE 4.2</v>
      </c>
      <c r="I24" s="80" t="str">
        <f>INDEX(Framework_Map!$F$5:$F$28,MATCH(E24,Framework_Map!$A$5:$A$28,0))</f>
        <v>Cl. 10.1, 10.2</v>
      </c>
      <c r="J24" s="80" t="s">
        <v>85</v>
      </c>
      <c r="K24" s="80" t="s">
        <v>1240</v>
      </c>
      <c r="L24" s="80" t="s">
        <v>1203</v>
      </c>
      <c r="M24" s="82">
        <v>0.8</v>
      </c>
      <c r="N24" s="83">
        <f>IF(J24="Implemented",1,IF(J24="Partially Implemented",Config!$B$13,0))</f>
        <v>0.5</v>
      </c>
      <c r="O24" s="81">
        <v>46284</v>
      </c>
      <c r="P24" s="80" t="s">
        <v>1212</v>
      </c>
    </row>
    <row r="25" spans="1:16" ht="26.4" x14ac:dyDescent="0.3">
      <c r="A25" s="80" t="s">
        <v>1241</v>
      </c>
      <c r="B25" s="80" t="s">
        <v>1035</v>
      </c>
      <c r="C25" s="80" t="str">
        <f>INDEX(Syn_AI_Inventory!$B$5:$B$34,MATCH(B25,Syn_AI_Inventory!$A$5:$A$34,0))</f>
        <v>Card Fraud Detection Engine</v>
      </c>
      <c r="D25" s="80" t="str">
        <f>INDEX(Syn_Tiering!$Q$5:$Q$34,MATCH(B25,Syn_Tiering!$A$5:$A$34,0))</f>
        <v>T2 - Elevated</v>
      </c>
      <c r="E25" s="80" t="s">
        <v>777</v>
      </c>
      <c r="F25" s="80" t="str">
        <f>INDEX(Framework_Map!$C$5:$C$28,MATCH(E25,Framework_Map!$A$5:$A$28,0))</f>
        <v>Maintain AI system inventory with documented risk classification</v>
      </c>
      <c r="G25" s="80" t="str">
        <f>INDEX(Framework_Map!$D$5:$D$28,MATCH(E25,Framework_Map!$A$5:$A$28,0))</f>
        <v>Art. 6, Annex III; Art. 49 (registration)</v>
      </c>
      <c r="H25" s="80" t="str">
        <f>INDEX(Framework_Map!$E$5:$E$28,MATCH(E25,Framework_Map!$A$5:$A$28,0))</f>
        <v>GOVERN 1.6</v>
      </c>
      <c r="I25" s="80" t="str">
        <f>INDEX(Framework_Map!$F$5:$F$28,MATCH(E25,Framework_Map!$A$5:$A$28,0))</f>
        <v>Cl. 4.3; A.4.2</v>
      </c>
      <c r="J25" s="80" t="s">
        <v>84</v>
      </c>
      <c r="K25" s="80" t="s">
        <v>1242</v>
      </c>
      <c r="L25" s="80" t="s">
        <v>1203</v>
      </c>
      <c r="M25" s="82">
        <v>0.89</v>
      </c>
      <c r="N25" s="83">
        <f>IF(J25="Implemented",1,IF(J25="Partially Implemented",Config!$B$13,0))</f>
        <v>1</v>
      </c>
      <c r="O25" s="81">
        <v>46269</v>
      </c>
      <c r="P25" s="80" t="s">
        <v>1209</v>
      </c>
    </row>
    <row r="26" spans="1:16" ht="26.4" x14ac:dyDescent="0.3">
      <c r="A26" s="80" t="s">
        <v>1243</v>
      </c>
      <c r="B26" s="80" t="s">
        <v>1035</v>
      </c>
      <c r="C26" s="80" t="str">
        <f>INDEX(Syn_AI_Inventory!$B$5:$B$34,MATCH(B26,Syn_AI_Inventory!$A$5:$A$34,0))</f>
        <v>Card Fraud Detection Engine</v>
      </c>
      <c r="D26" s="80" t="str">
        <f>INDEX(Syn_Tiering!$Q$5:$Q$34,MATCH(B26,Syn_Tiering!$A$5:$A$34,0))</f>
        <v>T2 - Elevated</v>
      </c>
      <c r="E26" s="80" t="s">
        <v>909</v>
      </c>
      <c r="F26" s="80" t="str">
        <f>INDEX(Framework_Map!$C$5:$C$28,MATCH(E26,Framework_Map!$A$5:$A$28,0))</f>
        <v>AI literacy / role-based training</v>
      </c>
      <c r="G26" s="80" t="str">
        <f>INDEX(Framework_Map!$D$5:$D$28,MATCH(E26,Framework_Map!$A$5:$A$28,0))</f>
        <v>Art. 4 (verify wording post-Omnibus)</v>
      </c>
      <c r="H26" s="80" t="str">
        <f>INDEX(Framework_Map!$E$5:$E$28,MATCH(E26,Framework_Map!$A$5:$A$28,0))</f>
        <v>GOVERN 2.2</v>
      </c>
      <c r="I26" s="80" t="str">
        <f>INDEX(Framework_Map!$F$5:$F$28,MATCH(E26,Framework_Map!$A$5:$A$28,0))</f>
        <v>Cl. 7.2, 7.3; A.4.6</v>
      </c>
      <c r="J26" s="80" t="s">
        <v>84</v>
      </c>
      <c r="K26" s="80" t="s">
        <v>1244</v>
      </c>
      <c r="L26" s="80" t="s">
        <v>1203</v>
      </c>
      <c r="M26" s="82">
        <v>0.74</v>
      </c>
      <c r="N26" s="83">
        <f>IF(J26="Implemented",1,IF(J26="Partially Implemented",Config!$B$13,0))</f>
        <v>1</v>
      </c>
      <c r="O26" s="81">
        <v>46280</v>
      </c>
      <c r="P26" s="80" t="s">
        <v>1209</v>
      </c>
    </row>
    <row r="27" spans="1:16" ht="26.4" x14ac:dyDescent="0.3">
      <c r="A27" s="80" t="s">
        <v>1245</v>
      </c>
      <c r="B27" s="80" t="s">
        <v>1040</v>
      </c>
      <c r="C27" s="80" t="str">
        <f>INDEX(Syn_AI_Inventory!$B$5:$B$34,MATCH(B27,Syn_AI_Inventory!$A$5:$A$34,0))</f>
        <v>Marketing Copy Generator</v>
      </c>
      <c r="D27" s="80" t="str">
        <f>INDEX(Syn_Tiering!$Q$5:$Q$34,MATCH(B27,Syn_Tiering!$A$5:$A$34,0))</f>
        <v>T2 - Elevated</v>
      </c>
      <c r="E27" s="80" t="s">
        <v>777</v>
      </c>
      <c r="F27" s="80" t="str">
        <f>INDEX(Framework_Map!$C$5:$C$28,MATCH(E27,Framework_Map!$A$5:$A$28,0))</f>
        <v>Maintain AI system inventory with documented risk classification</v>
      </c>
      <c r="G27" s="80" t="str">
        <f>INDEX(Framework_Map!$D$5:$D$28,MATCH(E27,Framework_Map!$A$5:$A$28,0))</f>
        <v>Art. 6, Annex III; Art. 49 (registration)</v>
      </c>
      <c r="H27" s="80" t="str">
        <f>INDEX(Framework_Map!$E$5:$E$28,MATCH(E27,Framework_Map!$A$5:$A$28,0))</f>
        <v>GOVERN 1.6</v>
      </c>
      <c r="I27" s="80" t="str">
        <f>INDEX(Framework_Map!$F$5:$F$28,MATCH(E27,Framework_Map!$A$5:$A$28,0))</f>
        <v>Cl. 4.3; A.4.2</v>
      </c>
      <c r="J27" s="80" t="s">
        <v>84</v>
      </c>
      <c r="K27" s="80" t="s">
        <v>1246</v>
      </c>
      <c r="L27" s="80" t="s">
        <v>1203</v>
      </c>
      <c r="M27" s="82">
        <v>0.89</v>
      </c>
      <c r="N27" s="83">
        <f>IF(J27="Implemented",1,IF(J27="Partially Implemented",Config!$B$13,0))</f>
        <v>1</v>
      </c>
      <c r="O27" s="81">
        <v>46273</v>
      </c>
      <c r="P27" s="80" t="s">
        <v>1209</v>
      </c>
    </row>
    <row r="28" spans="1:16" ht="26.4" x14ac:dyDescent="0.3">
      <c r="A28" s="80" t="s">
        <v>1247</v>
      </c>
      <c r="B28" s="80" t="s">
        <v>1040</v>
      </c>
      <c r="C28" s="80" t="str">
        <f>INDEX(Syn_AI_Inventory!$B$5:$B$34,MATCH(B28,Syn_AI_Inventory!$A$5:$A$34,0))</f>
        <v>Marketing Copy Generator</v>
      </c>
      <c r="D28" s="80" t="str">
        <f>INDEX(Syn_Tiering!$Q$5:$Q$34,MATCH(B28,Syn_Tiering!$A$5:$A$34,0))</f>
        <v>T2 - Elevated</v>
      </c>
      <c r="E28" s="80" t="s">
        <v>901</v>
      </c>
      <c r="F28" s="80" t="str">
        <f>INDEX(Framework_Map!$C$5:$C$28,MATCH(E28,Framework_Map!$A$5:$A$28,0))</f>
        <v>Supply-chain AI risk: supplier documentation, contracts, responsibilities</v>
      </c>
      <c r="G28" s="80" t="str">
        <f>INDEX(Framework_Map!$D$5:$D$28,MATCH(E28,Framework_Map!$A$5:$A$28,0))</f>
        <v>Art. 25</v>
      </c>
      <c r="H28" s="80" t="str">
        <f>INDEX(Framework_Map!$E$5:$E$28,MATCH(E28,Framework_Map!$A$5:$A$28,0))</f>
        <v>GOVERN 6.1, MAP 4.1</v>
      </c>
      <c r="I28" s="80" t="str">
        <f>INDEX(Framework_Map!$F$5:$F$28,MATCH(E28,Framework_Map!$A$5:$A$28,0))</f>
        <v>A.10.2, A.10.3</v>
      </c>
      <c r="J28" s="80" t="s">
        <v>84</v>
      </c>
      <c r="K28" s="80" t="s">
        <v>1248</v>
      </c>
      <c r="L28" s="80" t="s">
        <v>1200</v>
      </c>
      <c r="M28" s="82">
        <v>0.77</v>
      </c>
      <c r="N28" s="83">
        <f>IF(J28="Implemented",1,IF(J28="Partially Implemented",Config!$B$13,0))</f>
        <v>1</v>
      </c>
      <c r="O28" s="81">
        <v>46271</v>
      </c>
      <c r="P28" s="80" t="s">
        <v>1209</v>
      </c>
    </row>
    <row r="29" spans="1:16" ht="26.4" x14ac:dyDescent="0.3">
      <c r="A29" s="80" t="s">
        <v>1249</v>
      </c>
      <c r="B29" s="80" t="s">
        <v>1040</v>
      </c>
      <c r="C29" s="80" t="str">
        <f>INDEX(Syn_AI_Inventory!$B$5:$B$34,MATCH(B29,Syn_AI_Inventory!$A$5:$A$34,0))</f>
        <v>Marketing Copy Generator</v>
      </c>
      <c r="D29" s="80" t="str">
        <f>INDEX(Syn_Tiering!$Q$5:$Q$34,MATCH(B29,Syn_Tiering!$A$5:$A$34,0))</f>
        <v>T2 - Elevated</v>
      </c>
      <c r="E29" s="80" t="s">
        <v>909</v>
      </c>
      <c r="F29" s="80" t="str">
        <f>INDEX(Framework_Map!$C$5:$C$28,MATCH(E29,Framework_Map!$A$5:$A$28,0))</f>
        <v>AI literacy / role-based training</v>
      </c>
      <c r="G29" s="80" t="str">
        <f>INDEX(Framework_Map!$D$5:$D$28,MATCH(E29,Framework_Map!$A$5:$A$28,0))</f>
        <v>Art. 4 (verify wording post-Omnibus)</v>
      </c>
      <c r="H29" s="80" t="str">
        <f>INDEX(Framework_Map!$E$5:$E$28,MATCH(E29,Framework_Map!$A$5:$A$28,0))</f>
        <v>GOVERN 2.2</v>
      </c>
      <c r="I29" s="80" t="str">
        <f>INDEX(Framework_Map!$F$5:$F$28,MATCH(E29,Framework_Map!$A$5:$A$28,0))</f>
        <v>Cl. 7.2, 7.3; A.4.6</v>
      </c>
      <c r="J29" s="80" t="s">
        <v>84</v>
      </c>
      <c r="K29" s="80" t="s">
        <v>1250</v>
      </c>
      <c r="L29" s="80" t="s">
        <v>1203</v>
      </c>
      <c r="M29" s="82">
        <v>0.92</v>
      </c>
      <c r="N29" s="83">
        <f>IF(J29="Implemented",1,IF(J29="Partially Implemented",Config!$B$13,0))</f>
        <v>1</v>
      </c>
      <c r="O29" s="81">
        <v>46280</v>
      </c>
      <c r="P29" s="80" t="s">
        <v>1209</v>
      </c>
    </row>
    <row r="30" spans="1:16" x14ac:dyDescent="0.3">
      <c r="A30" s="80" t="s">
        <v>1251</v>
      </c>
      <c r="B30" s="80" t="s">
        <v>1040</v>
      </c>
      <c r="C30" s="80" t="str">
        <f>INDEX(Syn_AI_Inventory!$B$5:$B$34,MATCH(B30,Syn_AI_Inventory!$A$5:$A$34,0))</f>
        <v>Marketing Copy Generator</v>
      </c>
      <c r="D30" s="80" t="str">
        <f>INDEX(Syn_Tiering!$Q$5:$Q$34,MATCH(B30,Syn_Tiering!$A$5:$A$34,0))</f>
        <v>T2 - Elevated</v>
      </c>
      <c r="E30" s="80" t="s">
        <v>944</v>
      </c>
      <c r="F30" s="80" t="str">
        <f>INDEX(Framework_Map!$C$5:$C$28,MATCH(E30,Framework_Map!$A$5:$A$28,0))</f>
        <v>Corrective action and lessons-learned loop</v>
      </c>
      <c r="G30" s="80" t="str">
        <f>INDEX(Framework_Map!$D$5:$D$28,MATCH(E30,Framework_Map!$A$5:$A$28,0))</f>
        <v>—</v>
      </c>
      <c r="H30" s="80" t="str">
        <f>INDEX(Framework_Map!$E$5:$E$28,MATCH(E30,Framework_Map!$A$5:$A$28,0))</f>
        <v>MANAGE 4.2</v>
      </c>
      <c r="I30" s="80" t="str">
        <f>INDEX(Framework_Map!$F$5:$F$28,MATCH(E30,Framework_Map!$A$5:$A$28,0))</f>
        <v>Cl. 10.1, 10.2</v>
      </c>
      <c r="J30" s="80" t="s">
        <v>86</v>
      </c>
      <c r="K30" s="80" t="s">
        <v>650</v>
      </c>
      <c r="L30" s="80" t="s">
        <v>1200</v>
      </c>
      <c r="M30" s="82">
        <v>0.65</v>
      </c>
      <c r="N30" s="83">
        <f>IF(J30="Implemented",1,IF(J30="Partially Implemented",Config!$B$13,0))</f>
        <v>0</v>
      </c>
      <c r="O30" s="81">
        <v>46266</v>
      </c>
      <c r="P30" s="80" t="s">
        <v>1201</v>
      </c>
    </row>
    <row r="31" spans="1:16" ht="26.4" x14ac:dyDescent="0.3">
      <c r="A31" s="80" t="s">
        <v>1252</v>
      </c>
      <c r="B31" s="80" t="s">
        <v>1047</v>
      </c>
      <c r="C31" s="80" t="str">
        <f>INDEX(Syn_AI_Inventory!$B$5:$B$34,MATCH(B31,Syn_AI_Inventory!$A$5:$A$34,0))</f>
        <v>Employee Performance Analytics</v>
      </c>
      <c r="D31" s="80" t="str">
        <f>INDEX(Syn_Tiering!$Q$5:$Q$34,MATCH(B31,Syn_Tiering!$A$5:$A$34,0))</f>
        <v>T1 - Critical</v>
      </c>
      <c r="E31" s="80" t="s">
        <v>794</v>
      </c>
      <c r="F31" s="80" t="str">
        <f>INDEX(Framework_Map!$C$5:$C$28,MATCH(E31,Framework_Map!$A$5:$A$28,0))</f>
        <v>Lifecycle risk management system for the AI system</v>
      </c>
      <c r="G31" s="80" t="str">
        <f>INDEX(Framework_Map!$D$5:$D$28,MATCH(E31,Framework_Map!$A$5:$A$28,0))</f>
        <v>Art. 9</v>
      </c>
      <c r="H31" s="80" t="str">
        <f>INDEX(Framework_Map!$E$5:$E$28,MATCH(E31,Framework_Map!$A$5:$A$28,0))</f>
        <v>MAP 5.1, MANAGE 1.2</v>
      </c>
      <c r="I31" s="80" t="str">
        <f>INDEX(Framework_Map!$F$5:$F$28,MATCH(E31,Framework_Map!$A$5:$A$28,0))</f>
        <v>Cl. 6.1.2, 6.1.3, 8.2, 8.3</v>
      </c>
      <c r="J31" s="80" t="s">
        <v>86</v>
      </c>
      <c r="K31" s="80" t="s">
        <v>650</v>
      </c>
      <c r="L31" s="80" t="s">
        <v>1203</v>
      </c>
      <c r="M31" s="82">
        <v>0.75</v>
      </c>
      <c r="N31" s="83">
        <f>IF(J31="Implemented",1,IF(J31="Partially Implemented",Config!$B$13,0))</f>
        <v>0</v>
      </c>
      <c r="O31" s="81">
        <v>46274</v>
      </c>
      <c r="P31" s="80" t="s">
        <v>1201</v>
      </c>
    </row>
    <row r="32" spans="1:16" ht="26.4" x14ac:dyDescent="0.3">
      <c r="A32" s="80" t="s">
        <v>1253</v>
      </c>
      <c r="B32" s="80" t="s">
        <v>1047</v>
      </c>
      <c r="C32" s="80" t="str">
        <f>INDEX(Syn_AI_Inventory!$B$5:$B$34,MATCH(B32,Syn_AI_Inventory!$A$5:$A$34,0))</f>
        <v>Employee Performance Analytics</v>
      </c>
      <c r="D32" s="80" t="str">
        <f>INDEX(Syn_Tiering!$Q$5:$Q$34,MATCH(B32,Syn_Tiering!$A$5:$A$34,0))</f>
        <v>T1 - Critical</v>
      </c>
      <c r="E32" s="80" t="s">
        <v>802</v>
      </c>
      <c r="F32" s="80" t="str">
        <f>INDEX(Framework_Map!$C$5:$C$28,MATCH(E32,Framework_Map!$A$5:$A$28,0))</f>
        <v>Data quality, provenance, representativeness and bias examination</v>
      </c>
      <c r="G32" s="80" t="str">
        <f>INDEX(Framework_Map!$D$5:$D$28,MATCH(E32,Framework_Map!$A$5:$A$28,0))</f>
        <v>Art. 10</v>
      </c>
      <c r="H32" s="80" t="str">
        <f>INDEX(Framework_Map!$E$5:$E$28,MATCH(E32,Framework_Map!$A$5:$A$28,0))</f>
        <v>MAP 2.3</v>
      </c>
      <c r="I32" s="80" t="str">
        <f>INDEX(Framework_Map!$F$5:$F$28,MATCH(E32,Framework_Map!$A$5:$A$28,0))</f>
        <v>A.7.2, A.7.4, A.7.5</v>
      </c>
      <c r="J32" s="80" t="s">
        <v>87</v>
      </c>
      <c r="K32" s="80" t="s">
        <v>650</v>
      </c>
      <c r="L32" s="80" t="s">
        <v>1203</v>
      </c>
      <c r="M32" s="82">
        <v>0.72</v>
      </c>
      <c r="N32" s="83">
        <f>IF(J32="Implemented",1,IF(J32="Partially Implemented",Config!$B$13,0))</f>
        <v>0</v>
      </c>
      <c r="O32" s="81">
        <v>46287</v>
      </c>
      <c r="P32" s="80" t="s">
        <v>1233</v>
      </c>
    </row>
    <row r="33" spans="1:16" x14ac:dyDescent="0.3">
      <c r="A33" s="80" t="s">
        <v>1254</v>
      </c>
      <c r="B33" s="80" t="s">
        <v>1047</v>
      </c>
      <c r="C33" s="80" t="str">
        <f>INDEX(Syn_AI_Inventory!$B$5:$B$34,MATCH(B33,Syn_AI_Inventory!$A$5:$A$34,0))</f>
        <v>Employee Performance Analytics</v>
      </c>
      <c r="D33" s="80" t="str">
        <f>INDEX(Syn_Tiering!$Q$5:$Q$34,MATCH(B33,Syn_Tiering!$A$5:$A$34,0))</f>
        <v>T1 - Critical</v>
      </c>
      <c r="E33" s="80" t="s">
        <v>818</v>
      </c>
      <c r="F33" s="80" t="str">
        <f>INDEX(Framework_Map!$C$5:$C$28,MATCH(E33,Framework_Map!$A$5:$A$28,0))</f>
        <v>Automatic event logging and retention</v>
      </c>
      <c r="G33" s="80" t="str">
        <f>INDEX(Framework_Map!$D$5:$D$28,MATCH(E33,Framework_Map!$A$5:$A$28,0))</f>
        <v>Art. 12</v>
      </c>
      <c r="H33" s="80" t="str">
        <f>INDEX(Framework_Map!$E$5:$E$28,MATCH(E33,Framework_Map!$A$5:$A$28,0))</f>
        <v>MANAGE 4.1</v>
      </c>
      <c r="I33" s="80" t="str">
        <f>INDEX(Framework_Map!$F$5:$F$28,MATCH(E33,Framework_Map!$A$5:$A$28,0))</f>
        <v>A.6.2.8</v>
      </c>
      <c r="J33" s="80" t="s">
        <v>86</v>
      </c>
      <c r="K33" s="80" t="s">
        <v>650</v>
      </c>
      <c r="L33" s="80" t="s">
        <v>1203</v>
      </c>
      <c r="M33" s="82">
        <v>0.68</v>
      </c>
      <c r="N33" s="83">
        <f>IF(J33="Implemented",1,IF(J33="Partially Implemented",Config!$B$13,0))</f>
        <v>0</v>
      </c>
      <c r="O33" s="81">
        <v>46267</v>
      </c>
      <c r="P33" s="80" t="s">
        <v>1201</v>
      </c>
    </row>
    <row r="34" spans="1:16" ht="26.4" x14ac:dyDescent="0.3">
      <c r="A34" s="80" t="s">
        <v>1255</v>
      </c>
      <c r="B34" s="80" t="s">
        <v>1047</v>
      </c>
      <c r="C34" s="80" t="str">
        <f>INDEX(Syn_AI_Inventory!$B$5:$B$34,MATCH(B34,Syn_AI_Inventory!$A$5:$A$34,0))</f>
        <v>Employee Performance Analytics</v>
      </c>
      <c r="D34" s="80" t="str">
        <f>INDEX(Syn_Tiering!$Q$5:$Q$34,MATCH(B34,Syn_Tiering!$A$5:$A$34,0))</f>
        <v>T1 - Critical</v>
      </c>
      <c r="E34" s="80" t="s">
        <v>826</v>
      </c>
      <c r="F34" s="80" t="str">
        <f>INDEX(Framework_Map!$C$5:$C$28,MATCH(E34,Framework_Map!$A$5:$A$28,0))</f>
        <v>Instructions for use and information for deployers</v>
      </c>
      <c r="G34" s="80" t="str">
        <f>INDEX(Framework_Map!$D$5:$D$28,MATCH(E34,Framework_Map!$A$5:$A$28,0))</f>
        <v>Art. 13</v>
      </c>
      <c r="H34" s="80" t="str">
        <f>INDEX(Framework_Map!$E$5:$E$28,MATCH(E34,Framework_Map!$A$5:$A$28,0))</f>
        <v>MEASURE 2.8</v>
      </c>
      <c r="I34" s="80" t="str">
        <f>INDEX(Framework_Map!$F$5:$F$28,MATCH(E34,Framework_Map!$A$5:$A$28,0))</f>
        <v>A.8.2; A.8.5</v>
      </c>
      <c r="J34" s="80" t="s">
        <v>85</v>
      </c>
      <c r="K34" s="80" t="s">
        <v>1256</v>
      </c>
      <c r="L34" s="80" t="s">
        <v>1200</v>
      </c>
      <c r="M34" s="82">
        <v>0.64</v>
      </c>
      <c r="N34" s="83">
        <f>IF(J34="Implemented",1,IF(J34="Partially Implemented",Config!$B$13,0))</f>
        <v>0.5</v>
      </c>
      <c r="O34" s="81">
        <v>46267</v>
      </c>
      <c r="P34" s="80" t="s">
        <v>1222</v>
      </c>
    </row>
    <row r="35" spans="1:16" ht="26.4" x14ac:dyDescent="0.3">
      <c r="A35" s="80" t="s">
        <v>1257</v>
      </c>
      <c r="B35" s="80" t="s">
        <v>1047</v>
      </c>
      <c r="C35" s="80" t="str">
        <f>INDEX(Syn_AI_Inventory!$B$5:$B$34,MATCH(B35,Syn_AI_Inventory!$A$5:$A$34,0))</f>
        <v>Employee Performance Analytics</v>
      </c>
      <c r="D35" s="80" t="str">
        <f>INDEX(Syn_Tiering!$Q$5:$Q$34,MATCH(B35,Syn_Tiering!$A$5:$A$34,0))</f>
        <v>T1 - Critical</v>
      </c>
      <c r="E35" s="80" t="s">
        <v>833</v>
      </c>
      <c r="F35" s="80" t="str">
        <f>INDEX(Framework_Map!$C$5:$C$28,MATCH(E35,Framework_Map!$A$5:$A$28,0))</f>
        <v>Effective human oversight measures and competence</v>
      </c>
      <c r="G35" s="80" t="str">
        <f>INDEX(Framework_Map!$D$5:$D$28,MATCH(E35,Framework_Map!$A$5:$A$28,0))</f>
        <v>Art. 14; Art. 26(2)</v>
      </c>
      <c r="H35" s="80" t="str">
        <f>INDEX(Framework_Map!$E$5:$E$28,MATCH(E35,Framework_Map!$A$5:$A$28,0))</f>
        <v>MAP 3.5</v>
      </c>
      <c r="I35" s="80" t="str">
        <f>INDEX(Framework_Map!$F$5:$F$28,MATCH(E35,Framework_Map!$A$5:$A$28,0))</f>
        <v>A.9.2; A.6.1.3</v>
      </c>
      <c r="J35" s="80" t="s">
        <v>84</v>
      </c>
      <c r="K35" s="80" t="s">
        <v>1258</v>
      </c>
      <c r="L35" s="80" t="s">
        <v>1203</v>
      </c>
      <c r="M35" s="82">
        <v>0.79</v>
      </c>
      <c r="N35" s="83">
        <f>IF(J35="Implemented",1,IF(J35="Partially Implemented",Config!$B$13,0))</f>
        <v>1</v>
      </c>
      <c r="O35" s="81">
        <v>46271</v>
      </c>
      <c r="P35" s="80" t="s">
        <v>1209</v>
      </c>
    </row>
    <row r="36" spans="1:16" x14ac:dyDescent="0.3">
      <c r="A36" s="80" t="s">
        <v>1259</v>
      </c>
      <c r="B36" s="80" t="s">
        <v>1047</v>
      </c>
      <c r="C36" s="80" t="str">
        <f>INDEX(Syn_AI_Inventory!$B$5:$B$34,MATCH(B36,Syn_AI_Inventory!$A$5:$A$34,0))</f>
        <v>Employee Performance Analytics</v>
      </c>
      <c r="D36" s="80" t="str">
        <f>INDEX(Syn_Tiering!$Q$5:$Q$34,MATCH(B36,Syn_Tiering!$A$5:$A$34,0))</f>
        <v>T1 - Critical</v>
      </c>
      <c r="E36" s="80" t="s">
        <v>875</v>
      </c>
      <c r="F36" s="80" t="str">
        <f>INDEX(Framework_Map!$C$5:$C$28,MATCH(E36,Framework_Map!$A$5:$A$28,0))</f>
        <v>Registration in EU database</v>
      </c>
      <c r="G36" s="80" t="str">
        <f>INDEX(Framework_Map!$D$5:$D$28,MATCH(E36,Framework_Map!$A$5:$A$28,0))</f>
        <v>Art. 49, 71</v>
      </c>
      <c r="H36" s="80" t="str">
        <f>INDEX(Framework_Map!$E$5:$E$28,MATCH(E36,Framework_Map!$A$5:$A$28,0))</f>
        <v>GOVERN 1.6</v>
      </c>
      <c r="I36" s="80" t="str">
        <f>INDEX(Framework_Map!$F$5:$F$28,MATCH(E36,Framework_Map!$A$5:$A$28,0))</f>
        <v>Cl. 4.2 (closest)</v>
      </c>
      <c r="J36" s="80" t="s">
        <v>84</v>
      </c>
      <c r="K36" s="80" t="s">
        <v>1260</v>
      </c>
      <c r="L36" s="80" t="s">
        <v>1200</v>
      </c>
      <c r="M36" s="82">
        <v>0.65</v>
      </c>
      <c r="N36" s="83">
        <f>IF(J36="Implemented",1,IF(J36="Partially Implemented",Config!$B$13,0))</f>
        <v>1</v>
      </c>
      <c r="O36" s="81">
        <v>46268</v>
      </c>
      <c r="P36" s="80" t="s">
        <v>1209</v>
      </c>
    </row>
    <row r="37" spans="1:16" x14ac:dyDescent="0.3">
      <c r="A37" s="80" t="s">
        <v>1261</v>
      </c>
      <c r="B37" s="80" t="s">
        <v>1047</v>
      </c>
      <c r="C37" s="80" t="str">
        <f>INDEX(Syn_AI_Inventory!$B$5:$B$34,MATCH(B37,Syn_AI_Inventory!$A$5:$A$34,0))</f>
        <v>Employee Performance Analytics</v>
      </c>
      <c r="D37" s="80" t="str">
        <f>INDEX(Syn_Tiering!$Q$5:$Q$34,MATCH(B37,Syn_Tiering!$A$5:$A$34,0))</f>
        <v>T1 - Critical</v>
      </c>
      <c r="E37" s="80" t="s">
        <v>887</v>
      </c>
      <c r="F37" s="80" t="str">
        <f>INDEX(Framework_Map!$C$5:$C$28,MATCH(E37,Framework_Map!$A$5:$A$28,0))</f>
        <v>Serious incident reporting procedure</v>
      </c>
      <c r="G37" s="80" t="str">
        <f>INDEX(Framework_Map!$D$5:$D$28,MATCH(E37,Framework_Map!$A$5:$A$28,0))</f>
        <v>Art. 73</v>
      </c>
      <c r="H37" s="80" t="str">
        <f>INDEX(Framework_Map!$E$5:$E$28,MATCH(E37,Framework_Map!$A$5:$A$28,0))</f>
        <v>MANAGE 4.3</v>
      </c>
      <c r="I37" s="80" t="str">
        <f>INDEX(Framework_Map!$F$5:$F$28,MATCH(E37,Framework_Map!$A$5:$A$28,0))</f>
        <v>A.8.4; Cl. 10.2</v>
      </c>
      <c r="J37" s="80" t="s">
        <v>85</v>
      </c>
      <c r="K37" s="80" t="s">
        <v>1262</v>
      </c>
      <c r="L37" s="80" t="s">
        <v>1200</v>
      </c>
      <c r="M37" s="82">
        <v>0.91</v>
      </c>
      <c r="N37" s="83">
        <f>IF(J37="Implemented",1,IF(J37="Partially Implemented",Config!$B$13,0))</f>
        <v>0.5</v>
      </c>
      <c r="O37" s="81">
        <v>46269</v>
      </c>
      <c r="P37" s="80" t="s">
        <v>1263</v>
      </c>
    </row>
    <row r="38" spans="1:16" ht="26.4" x14ac:dyDescent="0.3">
      <c r="A38" s="80" t="s">
        <v>1264</v>
      </c>
      <c r="B38" s="80" t="s">
        <v>1047</v>
      </c>
      <c r="C38" s="80" t="str">
        <f>INDEX(Syn_AI_Inventory!$B$5:$B$34,MATCH(B38,Syn_AI_Inventory!$A$5:$A$34,0))</f>
        <v>Employee Performance Analytics</v>
      </c>
      <c r="D38" s="80" t="str">
        <f>INDEX(Syn_Tiering!$Q$5:$Q$34,MATCH(B38,Syn_Tiering!$A$5:$A$34,0))</f>
        <v>T1 - Critical</v>
      </c>
      <c r="E38" s="80" t="s">
        <v>916</v>
      </c>
      <c r="F38" s="80" t="str">
        <f>INDEX(Framework_Map!$C$5:$C$28,MATCH(E38,Framework_Map!$A$5:$A$28,0))</f>
        <v>Use per instructions, monitor operation, retain logs, inform workers</v>
      </c>
      <c r="G38" s="80" t="str">
        <f>INDEX(Framework_Map!$D$5:$D$28,MATCH(E38,Framework_Map!$A$5:$A$28,0))</f>
        <v>Art. 26</v>
      </c>
      <c r="H38" s="80" t="str">
        <f>INDEX(Framework_Map!$E$5:$E$28,MATCH(E38,Framework_Map!$A$5:$A$28,0))</f>
        <v>MANAGE 4.1</v>
      </c>
      <c r="I38" s="80" t="str">
        <f>INDEX(Framework_Map!$F$5:$F$28,MATCH(E38,Framework_Map!$A$5:$A$28,0))</f>
        <v>A.9.2; A.9.4</v>
      </c>
      <c r="J38" s="80" t="s">
        <v>87</v>
      </c>
      <c r="K38" s="80" t="s">
        <v>650</v>
      </c>
      <c r="L38" s="80" t="s">
        <v>1200</v>
      </c>
      <c r="M38" s="82">
        <v>0.7</v>
      </c>
      <c r="N38" s="83">
        <f>IF(J38="Implemented",1,IF(J38="Partially Implemented",Config!$B$13,0))</f>
        <v>0</v>
      </c>
      <c r="O38" s="81">
        <v>46267</v>
      </c>
      <c r="P38" s="80" t="s">
        <v>1233</v>
      </c>
    </row>
    <row r="39" spans="1:16" ht="26.4" x14ac:dyDescent="0.3">
      <c r="A39" s="80" t="s">
        <v>1265</v>
      </c>
      <c r="B39" s="80" t="s">
        <v>1051</v>
      </c>
      <c r="C39" s="80" t="str">
        <f>INDEX(Syn_AI_Inventory!$B$5:$B$34,MATCH(B39,Syn_AI_Inventory!$A$5:$A$34,0))</f>
        <v>Life Insurance Pricing Model</v>
      </c>
      <c r="D39" s="80" t="str">
        <f>INDEX(Syn_Tiering!$Q$5:$Q$34,MATCH(B39,Syn_Tiering!$A$5:$A$34,0))</f>
        <v>T1 - Critical</v>
      </c>
      <c r="E39" s="80" t="s">
        <v>794</v>
      </c>
      <c r="F39" s="80" t="str">
        <f>INDEX(Framework_Map!$C$5:$C$28,MATCH(E39,Framework_Map!$A$5:$A$28,0))</f>
        <v>Lifecycle risk management system for the AI system</v>
      </c>
      <c r="G39" s="80" t="str">
        <f>INDEX(Framework_Map!$D$5:$D$28,MATCH(E39,Framework_Map!$A$5:$A$28,0))</f>
        <v>Art. 9</v>
      </c>
      <c r="H39" s="80" t="str">
        <f>INDEX(Framework_Map!$E$5:$E$28,MATCH(E39,Framework_Map!$A$5:$A$28,0))</f>
        <v>MAP 5.1, MANAGE 1.2</v>
      </c>
      <c r="I39" s="80" t="str">
        <f>INDEX(Framework_Map!$F$5:$F$28,MATCH(E39,Framework_Map!$A$5:$A$28,0))</f>
        <v>Cl. 6.1.2, 6.1.3, 8.2, 8.3</v>
      </c>
      <c r="J39" s="80" t="s">
        <v>86</v>
      </c>
      <c r="K39" s="80" t="s">
        <v>650</v>
      </c>
      <c r="L39" s="80" t="s">
        <v>1203</v>
      </c>
      <c r="M39" s="82">
        <v>0.7</v>
      </c>
      <c r="N39" s="83">
        <f>IF(J39="Implemented",1,IF(J39="Partially Implemented",Config!$B$13,0))</f>
        <v>0</v>
      </c>
      <c r="O39" s="81">
        <v>46270</v>
      </c>
      <c r="P39" s="80" t="s">
        <v>1201</v>
      </c>
    </row>
    <row r="40" spans="1:16" ht="26.4" x14ac:dyDescent="0.3">
      <c r="A40" s="80" t="s">
        <v>1266</v>
      </c>
      <c r="B40" s="80" t="s">
        <v>1051</v>
      </c>
      <c r="C40" s="80" t="str">
        <f>INDEX(Syn_AI_Inventory!$B$5:$B$34,MATCH(B40,Syn_AI_Inventory!$A$5:$A$34,0))</f>
        <v>Life Insurance Pricing Model</v>
      </c>
      <c r="D40" s="80" t="str">
        <f>INDEX(Syn_Tiering!$Q$5:$Q$34,MATCH(B40,Syn_Tiering!$A$5:$A$34,0))</f>
        <v>T1 - Critical</v>
      </c>
      <c r="E40" s="80" t="s">
        <v>802</v>
      </c>
      <c r="F40" s="80" t="str">
        <f>INDEX(Framework_Map!$C$5:$C$28,MATCH(E40,Framework_Map!$A$5:$A$28,0))</f>
        <v>Data quality, provenance, representativeness and bias examination</v>
      </c>
      <c r="G40" s="80" t="str">
        <f>INDEX(Framework_Map!$D$5:$D$28,MATCH(E40,Framework_Map!$A$5:$A$28,0))</f>
        <v>Art. 10</v>
      </c>
      <c r="H40" s="80" t="str">
        <f>INDEX(Framework_Map!$E$5:$E$28,MATCH(E40,Framework_Map!$A$5:$A$28,0))</f>
        <v>MAP 2.3</v>
      </c>
      <c r="I40" s="80" t="str">
        <f>INDEX(Framework_Map!$F$5:$F$28,MATCH(E40,Framework_Map!$A$5:$A$28,0))</f>
        <v>A.7.2, A.7.4, A.7.5</v>
      </c>
      <c r="J40" s="80" t="s">
        <v>86</v>
      </c>
      <c r="K40" s="80" t="s">
        <v>650</v>
      </c>
      <c r="L40" s="80" t="s">
        <v>1203</v>
      </c>
      <c r="M40" s="82">
        <v>0.78</v>
      </c>
      <c r="N40" s="83">
        <f>IF(J40="Implemented",1,IF(J40="Partially Implemented",Config!$B$13,0))</f>
        <v>0</v>
      </c>
      <c r="O40" s="81">
        <v>46266</v>
      </c>
      <c r="P40" s="80" t="s">
        <v>1201</v>
      </c>
    </row>
    <row r="41" spans="1:16" x14ac:dyDescent="0.3">
      <c r="A41" s="80" t="s">
        <v>1267</v>
      </c>
      <c r="B41" s="80" t="s">
        <v>1051</v>
      </c>
      <c r="C41" s="80" t="str">
        <f>INDEX(Syn_AI_Inventory!$B$5:$B$34,MATCH(B41,Syn_AI_Inventory!$A$5:$A$34,0))</f>
        <v>Life Insurance Pricing Model</v>
      </c>
      <c r="D41" s="80" t="str">
        <f>INDEX(Syn_Tiering!$Q$5:$Q$34,MATCH(B41,Syn_Tiering!$A$5:$A$34,0))</f>
        <v>T1 - Critical</v>
      </c>
      <c r="E41" s="80" t="s">
        <v>810</v>
      </c>
      <c r="F41" s="80" t="str">
        <f>INDEX(Framework_Map!$C$5:$C$28,MATCH(E41,Framework_Map!$A$5:$A$28,0))</f>
        <v>Technical documentation kept up to date</v>
      </c>
      <c r="G41" s="80" t="str">
        <f>INDEX(Framework_Map!$D$5:$D$28,MATCH(E41,Framework_Map!$A$5:$A$28,0))</f>
        <v>Art. 11, Annex IV</v>
      </c>
      <c r="H41" s="80" t="str">
        <f>INDEX(Framework_Map!$E$5:$E$28,MATCH(E41,Framework_Map!$A$5:$A$28,0))</f>
        <v>GOVERN 4.2</v>
      </c>
      <c r="I41" s="80" t="str">
        <f>INDEX(Framework_Map!$F$5:$F$28,MATCH(E41,Framework_Map!$A$5:$A$28,0))</f>
        <v>A.6.2.7; A.8.2</v>
      </c>
      <c r="J41" s="80" t="s">
        <v>85</v>
      </c>
      <c r="K41" s="80" t="s">
        <v>1268</v>
      </c>
      <c r="L41" s="80" t="s">
        <v>1200</v>
      </c>
      <c r="M41" s="82">
        <v>0.96</v>
      </c>
      <c r="N41" s="83">
        <f>IF(J41="Implemented",1,IF(J41="Partially Implemented",Config!$B$13,0))</f>
        <v>0.5</v>
      </c>
      <c r="O41" s="81">
        <v>46283</v>
      </c>
      <c r="P41" s="80" t="s">
        <v>1269</v>
      </c>
    </row>
    <row r="42" spans="1:16" ht="26.4" x14ac:dyDescent="0.3">
      <c r="A42" s="80" t="s">
        <v>1270</v>
      </c>
      <c r="B42" s="80" t="s">
        <v>1051</v>
      </c>
      <c r="C42" s="80" t="str">
        <f>INDEX(Syn_AI_Inventory!$B$5:$B$34,MATCH(B42,Syn_AI_Inventory!$A$5:$A$34,0))</f>
        <v>Life Insurance Pricing Model</v>
      </c>
      <c r="D42" s="80" t="str">
        <f>INDEX(Syn_Tiering!$Q$5:$Q$34,MATCH(B42,Syn_Tiering!$A$5:$A$34,0))</f>
        <v>T1 - Critical</v>
      </c>
      <c r="E42" s="80" t="s">
        <v>653</v>
      </c>
      <c r="F42" s="80" t="str">
        <f>INDEX(Framework_Map!$C$5:$C$28,MATCH(E42,Framework_Map!$A$5:$A$28,0))</f>
        <v>Quality management system covering AI lifecycle</v>
      </c>
      <c r="G42" s="80" t="str">
        <f>INDEX(Framework_Map!$D$5:$D$28,MATCH(E42,Framework_Map!$A$5:$A$28,0))</f>
        <v>Art. 17</v>
      </c>
      <c r="H42" s="80" t="str">
        <f>INDEX(Framework_Map!$E$5:$E$28,MATCH(E42,Framework_Map!$A$5:$A$28,0))</f>
        <v>GOVERN 1.4</v>
      </c>
      <c r="I42" s="80" t="str">
        <f>INDEX(Framework_Map!$F$5:$F$28,MATCH(E42,Framework_Map!$A$5:$A$28,0))</f>
        <v>Cl. 4.4, 7.5, 8.1</v>
      </c>
      <c r="J42" s="80" t="s">
        <v>84</v>
      </c>
      <c r="K42" s="80" t="s">
        <v>1271</v>
      </c>
      <c r="L42" s="80" t="s">
        <v>1203</v>
      </c>
      <c r="M42" s="82">
        <v>0.67</v>
      </c>
      <c r="N42" s="83">
        <f>IF(J42="Implemented",1,IF(J42="Partially Implemented",Config!$B$13,0))</f>
        <v>1</v>
      </c>
      <c r="O42" s="81">
        <v>46268</v>
      </c>
      <c r="P42" s="80" t="s">
        <v>1209</v>
      </c>
    </row>
    <row r="43" spans="1:16" x14ac:dyDescent="0.3">
      <c r="A43" s="80" t="s">
        <v>1272</v>
      </c>
      <c r="B43" s="80" t="s">
        <v>1051</v>
      </c>
      <c r="C43" s="80" t="str">
        <f>INDEX(Syn_AI_Inventory!$B$5:$B$34,MATCH(B43,Syn_AI_Inventory!$A$5:$A$34,0))</f>
        <v>Life Insurance Pricing Model</v>
      </c>
      <c r="D43" s="80" t="str">
        <f>INDEX(Syn_Tiering!$Q$5:$Q$34,MATCH(B43,Syn_Tiering!$A$5:$A$34,0))</f>
        <v>T1 - Critical</v>
      </c>
      <c r="E43" s="80" t="s">
        <v>875</v>
      </c>
      <c r="F43" s="80" t="str">
        <f>INDEX(Framework_Map!$C$5:$C$28,MATCH(E43,Framework_Map!$A$5:$A$28,0))</f>
        <v>Registration in EU database</v>
      </c>
      <c r="G43" s="80" t="str">
        <f>INDEX(Framework_Map!$D$5:$D$28,MATCH(E43,Framework_Map!$A$5:$A$28,0))</f>
        <v>Art. 49, 71</v>
      </c>
      <c r="H43" s="80" t="str">
        <f>INDEX(Framework_Map!$E$5:$E$28,MATCH(E43,Framework_Map!$A$5:$A$28,0))</f>
        <v>GOVERN 1.6</v>
      </c>
      <c r="I43" s="80" t="str">
        <f>INDEX(Framework_Map!$F$5:$F$28,MATCH(E43,Framework_Map!$A$5:$A$28,0))</f>
        <v>Cl. 4.2 (closest)</v>
      </c>
      <c r="J43" s="80" t="s">
        <v>86</v>
      </c>
      <c r="K43" s="80" t="s">
        <v>650</v>
      </c>
      <c r="L43" s="80" t="s">
        <v>1203</v>
      </c>
      <c r="M43" s="82">
        <v>0.72</v>
      </c>
      <c r="N43" s="83">
        <f>IF(J43="Implemented",1,IF(J43="Partially Implemented",Config!$B$13,0))</f>
        <v>0</v>
      </c>
      <c r="O43" s="81">
        <v>46283</v>
      </c>
      <c r="P43" s="80" t="s">
        <v>1201</v>
      </c>
    </row>
    <row r="44" spans="1:16" x14ac:dyDescent="0.3">
      <c r="A44" s="80" t="s">
        <v>1273</v>
      </c>
      <c r="B44" s="80" t="s">
        <v>1051</v>
      </c>
      <c r="C44" s="80" t="str">
        <f>INDEX(Syn_AI_Inventory!$B$5:$B$34,MATCH(B44,Syn_AI_Inventory!$A$5:$A$34,0))</f>
        <v>Life Insurance Pricing Model</v>
      </c>
      <c r="D44" s="80" t="str">
        <f>INDEX(Syn_Tiering!$Q$5:$Q$34,MATCH(B44,Syn_Tiering!$A$5:$A$34,0))</f>
        <v>T1 - Critical</v>
      </c>
      <c r="E44" s="80" t="s">
        <v>881</v>
      </c>
      <c r="F44" s="80" t="str">
        <f>INDEX(Framework_Map!$C$5:$C$28,MATCH(E44,Framework_Map!$A$5:$A$28,0))</f>
        <v>Post-market / post-deployment monitoring plan</v>
      </c>
      <c r="G44" s="80" t="str">
        <f>INDEX(Framework_Map!$D$5:$D$28,MATCH(E44,Framework_Map!$A$5:$A$28,0))</f>
        <v>Art. 72</v>
      </c>
      <c r="H44" s="80" t="str">
        <f>INDEX(Framework_Map!$E$5:$E$28,MATCH(E44,Framework_Map!$A$5:$A$28,0))</f>
        <v>MANAGE 4.1</v>
      </c>
      <c r="I44" s="80" t="str">
        <f>INDEX(Framework_Map!$F$5:$F$28,MATCH(E44,Framework_Map!$A$5:$A$28,0))</f>
        <v>Cl. 9.1; A.6.2.6</v>
      </c>
      <c r="J44" s="80" t="s">
        <v>86</v>
      </c>
      <c r="K44" s="80" t="s">
        <v>650</v>
      </c>
      <c r="L44" s="80" t="s">
        <v>1200</v>
      </c>
      <c r="M44" s="82">
        <v>0.95</v>
      </c>
      <c r="N44" s="83">
        <f>IF(J44="Implemented",1,IF(J44="Partially Implemented",Config!$B$13,0))</f>
        <v>0</v>
      </c>
      <c r="O44" s="81">
        <v>46266</v>
      </c>
      <c r="P44" s="80" t="s">
        <v>1201</v>
      </c>
    </row>
    <row r="45" spans="1:16" ht="26.4" x14ac:dyDescent="0.3">
      <c r="A45" s="80" t="s">
        <v>1274</v>
      </c>
      <c r="B45" s="80" t="s">
        <v>1051</v>
      </c>
      <c r="C45" s="80" t="str">
        <f>INDEX(Syn_AI_Inventory!$B$5:$B$34,MATCH(B45,Syn_AI_Inventory!$A$5:$A$34,0))</f>
        <v>Life Insurance Pricing Model</v>
      </c>
      <c r="D45" s="80" t="str">
        <f>INDEX(Syn_Tiering!$Q$5:$Q$34,MATCH(B45,Syn_Tiering!$A$5:$A$34,0))</f>
        <v>T1 - Critical</v>
      </c>
      <c r="E45" s="80" t="s">
        <v>901</v>
      </c>
      <c r="F45" s="80" t="str">
        <f>INDEX(Framework_Map!$C$5:$C$28,MATCH(E45,Framework_Map!$A$5:$A$28,0))</f>
        <v>Supply-chain AI risk: supplier documentation, contracts, responsibilities</v>
      </c>
      <c r="G45" s="80" t="str">
        <f>INDEX(Framework_Map!$D$5:$D$28,MATCH(E45,Framework_Map!$A$5:$A$28,0))</f>
        <v>Art. 25</v>
      </c>
      <c r="H45" s="80" t="str">
        <f>INDEX(Framework_Map!$E$5:$E$28,MATCH(E45,Framework_Map!$A$5:$A$28,0))</f>
        <v>GOVERN 6.1, MAP 4.1</v>
      </c>
      <c r="I45" s="80" t="str">
        <f>INDEX(Framework_Map!$F$5:$F$28,MATCH(E45,Framework_Map!$A$5:$A$28,0))</f>
        <v>A.10.2, A.10.3</v>
      </c>
      <c r="J45" s="80" t="s">
        <v>86</v>
      </c>
      <c r="K45" s="80" t="s">
        <v>650</v>
      </c>
      <c r="L45" s="80" t="s">
        <v>1200</v>
      </c>
      <c r="M45" s="82">
        <v>0.72</v>
      </c>
      <c r="N45" s="83">
        <f>IF(J45="Implemented",1,IF(J45="Partially Implemented",Config!$B$13,0))</f>
        <v>0</v>
      </c>
      <c r="O45" s="81">
        <v>46270</v>
      </c>
      <c r="P45" s="80" t="s">
        <v>1201</v>
      </c>
    </row>
    <row r="46" spans="1:16" x14ac:dyDescent="0.3">
      <c r="A46" s="80" t="s">
        <v>1275</v>
      </c>
      <c r="B46" s="80" t="s">
        <v>1051</v>
      </c>
      <c r="C46" s="80" t="str">
        <f>INDEX(Syn_AI_Inventory!$B$5:$B$34,MATCH(B46,Syn_AI_Inventory!$A$5:$A$34,0))</f>
        <v>Life Insurance Pricing Model</v>
      </c>
      <c r="D46" s="80" t="str">
        <f>INDEX(Syn_Tiering!$Q$5:$Q$34,MATCH(B46,Syn_Tiering!$A$5:$A$34,0))</f>
        <v>T1 - Critical</v>
      </c>
      <c r="E46" s="80" t="s">
        <v>944</v>
      </c>
      <c r="F46" s="80" t="str">
        <f>INDEX(Framework_Map!$C$5:$C$28,MATCH(E46,Framework_Map!$A$5:$A$28,0))</f>
        <v>Corrective action and lessons-learned loop</v>
      </c>
      <c r="G46" s="80" t="str">
        <f>INDEX(Framework_Map!$D$5:$D$28,MATCH(E46,Framework_Map!$A$5:$A$28,0))</f>
        <v>—</v>
      </c>
      <c r="H46" s="80" t="str">
        <f>INDEX(Framework_Map!$E$5:$E$28,MATCH(E46,Framework_Map!$A$5:$A$28,0))</f>
        <v>MANAGE 4.2</v>
      </c>
      <c r="I46" s="80" t="str">
        <f>INDEX(Framework_Map!$F$5:$F$28,MATCH(E46,Framework_Map!$A$5:$A$28,0))</f>
        <v>Cl. 10.1, 10.2</v>
      </c>
      <c r="J46" s="80" t="s">
        <v>84</v>
      </c>
      <c r="K46" s="80" t="s">
        <v>1276</v>
      </c>
      <c r="L46" s="80" t="s">
        <v>1203</v>
      </c>
      <c r="M46" s="82">
        <v>0.87</v>
      </c>
      <c r="N46" s="83">
        <f>IF(J46="Implemented",1,IF(J46="Partially Implemented",Config!$B$13,0))</f>
        <v>1</v>
      </c>
      <c r="O46" s="81">
        <v>46274</v>
      </c>
      <c r="P46" s="80" t="s">
        <v>1209</v>
      </c>
    </row>
    <row r="47" spans="1:16" ht="26.4" x14ac:dyDescent="0.3">
      <c r="A47" s="80" t="s">
        <v>1277</v>
      </c>
      <c r="B47" s="80" t="s">
        <v>1056</v>
      </c>
      <c r="C47" s="80" t="str">
        <f>INDEX(Syn_AI_Inventory!$B$5:$B$34,MATCH(B47,Syn_AI_Inventory!$A$5:$A$34,0))</f>
        <v>Claims Triage NLP</v>
      </c>
      <c r="D47" s="80" t="str">
        <f>INDEX(Syn_Tiering!$Q$5:$Q$34,MATCH(B47,Syn_Tiering!$A$5:$A$34,0))</f>
        <v>T2 - Elevated</v>
      </c>
      <c r="E47" s="80" t="s">
        <v>777</v>
      </c>
      <c r="F47" s="80" t="str">
        <f>INDEX(Framework_Map!$C$5:$C$28,MATCH(E47,Framework_Map!$A$5:$A$28,0))</f>
        <v>Maintain AI system inventory with documented risk classification</v>
      </c>
      <c r="G47" s="80" t="str">
        <f>INDEX(Framework_Map!$D$5:$D$28,MATCH(E47,Framework_Map!$A$5:$A$28,0))</f>
        <v>Art. 6, Annex III; Art. 49 (registration)</v>
      </c>
      <c r="H47" s="80" t="str">
        <f>INDEX(Framework_Map!$E$5:$E$28,MATCH(E47,Framework_Map!$A$5:$A$28,0))</f>
        <v>GOVERN 1.6</v>
      </c>
      <c r="I47" s="80" t="str">
        <f>INDEX(Framework_Map!$F$5:$F$28,MATCH(E47,Framework_Map!$A$5:$A$28,0))</f>
        <v>Cl. 4.3; A.4.2</v>
      </c>
      <c r="J47" s="80" t="s">
        <v>84</v>
      </c>
      <c r="K47" s="80" t="s">
        <v>1278</v>
      </c>
      <c r="L47" s="80" t="s">
        <v>1203</v>
      </c>
      <c r="M47" s="82">
        <v>0.86</v>
      </c>
      <c r="N47" s="83">
        <f>IF(J47="Implemented",1,IF(J47="Partially Implemented",Config!$B$13,0))</f>
        <v>1</v>
      </c>
      <c r="O47" s="81">
        <v>46287</v>
      </c>
      <c r="P47" s="80" t="s">
        <v>1209</v>
      </c>
    </row>
    <row r="48" spans="1:16" ht="26.4" x14ac:dyDescent="0.3">
      <c r="A48" s="80" t="s">
        <v>1279</v>
      </c>
      <c r="B48" s="80" t="s">
        <v>1056</v>
      </c>
      <c r="C48" s="80" t="str">
        <f>INDEX(Syn_AI_Inventory!$B$5:$B$34,MATCH(B48,Syn_AI_Inventory!$A$5:$A$34,0))</f>
        <v>Claims Triage NLP</v>
      </c>
      <c r="D48" s="80" t="str">
        <f>INDEX(Syn_Tiering!$Q$5:$Q$34,MATCH(B48,Syn_Tiering!$A$5:$A$34,0))</f>
        <v>T2 - Elevated</v>
      </c>
      <c r="E48" s="80" t="s">
        <v>909</v>
      </c>
      <c r="F48" s="80" t="str">
        <f>INDEX(Framework_Map!$C$5:$C$28,MATCH(E48,Framework_Map!$A$5:$A$28,0))</f>
        <v>AI literacy / role-based training</v>
      </c>
      <c r="G48" s="80" t="str">
        <f>INDEX(Framework_Map!$D$5:$D$28,MATCH(E48,Framework_Map!$A$5:$A$28,0))</f>
        <v>Art. 4 (verify wording post-Omnibus)</v>
      </c>
      <c r="H48" s="80" t="str">
        <f>INDEX(Framework_Map!$E$5:$E$28,MATCH(E48,Framework_Map!$A$5:$A$28,0))</f>
        <v>GOVERN 2.2</v>
      </c>
      <c r="I48" s="80" t="str">
        <f>INDEX(Framework_Map!$F$5:$F$28,MATCH(E48,Framework_Map!$A$5:$A$28,0))</f>
        <v>Cl. 7.2, 7.3; A.4.6</v>
      </c>
      <c r="J48" s="80" t="s">
        <v>85</v>
      </c>
      <c r="K48" s="80" t="s">
        <v>1280</v>
      </c>
      <c r="L48" s="80" t="s">
        <v>1203</v>
      </c>
      <c r="M48" s="82">
        <v>0.79</v>
      </c>
      <c r="N48" s="83">
        <f>IF(J48="Implemented",1,IF(J48="Partially Implemented",Config!$B$13,0))</f>
        <v>0.5</v>
      </c>
      <c r="O48" s="81">
        <v>46267</v>
      </c>
      <c r="P48" s="80" t="s">
        <v>1222</v>
      </c>
    </row>
    <row r="49" spans="1:16" ht="26.4" x14ac:dyDescent="0.3">
      <c r="A49" s="80" t="s">
        <v>1281</v>
      </c>
      <c r="B49" s="80" t="s">
        <v>1060</v>
      </c>
      <c r="C49" s="80" t="str">
        <f>INDEX(Syn_AI_Inventory!$B$5:$B$34,MATCH(B49,Syn_AI_Inventory!$A$5:$A$34,0))</f>
        <v>Call-Centre Emotion Analytics</v>
      </c>
      <c r="D49" s="80" t="str">
        <f>INDEX(Syn_Tiering!$Q$5:$Q$34,MATCH(B49,Syn_Tiering!$A$5:$A$34,0))</f>
        <v>T0 - Stop</v>
      </c>
      <c r="E49" s="80" t="s">
        <v>937</v>
      </c>
      <c r="F49" s="80" t="str">
        <f>INDEX(Framework_Map!$C$5:$C$28,MATCH(E49,Framework_Map!$A$5:$A$28,0))</f>
        <v>Screen for Art.5 practices; stop, escalate and decommission if found</v>
      </c>
      <c r="G49" s="80" t="str">
        <f>INDEX(Framework_Map!$D$5:$D$28,MATCH(E49,Framework_Map!$A$5:$A$28,0))</f>
        <v>Art. 5</v>
      </c>
      <c r="H49" s="80" t="str">
        <f>INDEX(Framework_Map!$E$5:$E$28,MATCH(E49,Framework_Map!$A$5:$A$28,0))</f>
        <v>GOVERN 1.1</v>
      </c>
      <c r="I49" s="80" t="str">
        <f>INDEX(Framework_Map!$F$5:$F$28,MATCH(E49,Framework_Map!$A$5:$A$28,0))</f>
        <v>Cl. 4.2; A.9.3</v>
      </c>
      <c r="J49" s="80" t="s">
        <v>86</v>
      </c>
      <c r="K49" s="80" t="s">
        <v>650</v>
      </c>
      <c r="L49" s="80" t="s">
        <v>1203</v>
      </c>
      <c r="M49" s="82">
        <v>0.84</v>
      </c>
      <c r="N49" s="83">
        <f>IF(J49="Implemented",1,IF(J49="Partially Implemented",Config!$B$13,0))</f>
        <v>0</v>
      </c>
      <c r="O49" s="81">
        <v>46267</v>
      </c>
      <c r="P49" s="80" t="s">
        <v>1201</v>
      </c>
    </row>
    <row r="50" spans="1:16" ht="26.4" x14ac:dyDescent="0.3">
      <c r="A50" s="80" t="s">
        <v>1282</v>
      </c>
      <c r="B50" s="80" t="s">
        <v>1060</v>
      </c>
      <c r="C50" s="80" t="str">
        <f>INDEX(Syn_AI_Inventory!$B$5:$B$34,MATCH(B50,Syn_AI_Inventory!$A$5:$A$34,0))</f>
        <v>Call-Centre Emotion Analytics</v>
      </c>
      <c r="D50" s="80" t="str">
        <f>INDEX(Syn_Tiering!$Q$5:$Q$34,MATCH(B50,Syn_Tiering!$A$5:$A$34,0))</f>
        <v>T0 - Stop</v>
      </c>
      <c r="E50" s="80" t="s">
        <v>777</v>
      </c>
      <c r="F50" s="80" t="str">
        <f>INDEX(Framework_Map!$C$5:$C$28,MATCH(E50,Framework_Map!$A$5:$A$28,0))</f>
        <v>Maintain AI system inventory with documented risk classification</v>
      </c>
      <c r="G50" s="80" t="str">
        <f>INDEX(Framework_Map!$D$5:$D$28,MATCH(E50,Framework_Map!$A$5:$A$28,0))</f>
        <v>Art. 6, Annex III; Art. 49 (registration)</v>
      </c>
      <c r="H50" s="80" t="str">
        <f>INDEX(Framework_Map!$E$5:$E$28,MATCH(E50,Framework_Map!$A$5:$A$28,0))</f>
        <v>GOVERN 1.6</v>
      </c>
      <c r="I50" s="80" t="str">
        <f>INDEX(Framework_Map!$F$5:$F$28,MATCH(E50,Framework_Map!$A$5:$A$28,0))</f>
        <v>Cl. 4.3; A.4.2</v>
      </c>
      <c r="J50" s="80" t="s">
        <v>84</v>
      </c>
      <c r="K50" s="80" t="s">
        <v>1283</v>
      </c>
      <c r="L50" s="80" t="s">
        <v>1203</v>
      </c>
      <c r="M50" s="82">
        <v>0.84</v>
      </c>
      <c r="N50" s="83">
        <f>IF(J50="Implemented",1,IF(J50="Partially Implemented",Config!$B$13,0))</f>
        <v>1</v>
      </c>
      <c r="O50" s="81">
        <v>46271</v>
      </c>
      <c r="P50" s="80" t="s">
        <v>1209</v>
      </c>
    </row>
    <row r="51" spans="1:16" ht="26.4" x14ac:dyDescent="0.3">
      <c r="A51" s="80" t="s">
        <v>1284</v>
      </c>
      <c r="B51" s="80" t="s">
        <v>1065</v>
      </c>
      <c r="C51" s="80" t="str">
        <f>INDEX(Syn_AI_Inventory!$B$5:$B$34,MATCH(B51,Syn_AI_Inventory!$A$5:$A$34,0))</f>
        <v>Store Camera Demographic Analytics (pilot)</v>
      </c>
      <c r="D51" s="80" t="str">
        <f>INDEX(Syn_Tiering!$Q$5:$Q$34,MATCH(B51,Syn_Tiering!$A$5:$A$34,0))</f>
        <v>T0 - Stop</v>
      </c>
      <c r="E51" s="80" t="s">
        <v>937</v>
      </c>
      <c r="F51" s="80" t="str">
        <f>INDEX(Framework_Map!$C$5:$C$28,MATCH(E51,Framework_Map!$A$5:$A$28,0))</f>
        <v>Screen for Art.5 practices; stop, escalate and decommission if found</v>
      </c>
      <c r="G51" s="80" t="str">
        <f>INDEX(Framework_Map!$D$5:$D$28,MATCH(E51,Framework_Map!$A$5:$A$28,0))</f>
        <v>Art. 5</v>
      </c>
      <c r="H51" s="80" t="str">
        <f>INDEX(Framework_Map!$E$5:$E$28,MATCH(E51,Framework_Map!$A$5:$A$28,0))</f>
        <v>GOVERN 1.1</v>
      </c>
      <c r="I51" s="80" t="str">
        <f>INDEX(Framework_Map!$F$5:$F$28,MATCH(E51,Framework_Map!$A$5:$A$28,0))</f>
        <v>Cl. 4.2; A.9.3</v>
      </c>
      <c r="J51" s="80" t="s">
        <v>85</v>
      </c>
      <c r="K51" s="80" t="s">
        <v>1285</v>
      </c>
      <c r="L51" s="80" t="s">
        <v>1200</v>
      </c>
      <c r="M51" s="82">
        <v>0.77</v>
      </c>
      <c r="N51" s="83">
        <f>IF(J51="Implemented",1,IF(J51="Partially Implemented",Config!$B$13,0))</f>
        <v>0.5</v>
      </c>
      <c r="O51" s="81">
        <v>46283</v>
      </c>
      <c r="P51" s="80" t="s">
        <v>1263</v>
      </c>
    </row>
    <row r="52" spans="1:16" ht="26.4" x14ac:dyDescent="0.3">
      <c r="A52" s="80" t="s">
        <v>1286</v>
      </c>
      <c r="B52" s="80" t="s">
        <v>1065</v>
      </c>
      <c r="C52" s="80" t="str">
        <f>INDEX(Syn_AI_Inventory!$B$5:$B$34,MATCH(B52,Syn_AI_Inventory!$A$5:$A$34,0))</f>
        <v>Store Camera Demographic Analytics (pilot)</v>
      </c>
      <c r="D52" s="80" t="str">
        <f>INDEX(Syn_Tiering!$Q$5:$Q$34,MATCH(B52,Syn_Tiering!$A$5:$A$34,0))</f>
        <v>T0 - Stop</v>
      </c>
      <c r="E52" s="80" t="s">
        <v>777</v>
      </c>
      <c r="F52" s="80" t="str">
        <f>INDEX(Framework_Map!$C$5:$C$28,MATCH(E52,Framework_Map!$A$5:$A$28,0))</f>
        <v>Maintain AI system inventory with documented risk classification</v>
      </c>
      <c r="G52" s="80" t="str">
        <f>INDEX(Framework_Map!$D$5:$D$28,MATCH(E52,Framework_Map!$A$5:$A$28,0))</f>
        <v>Art. 6, Annex III; Art. 49 (registration)</v>
      </c>
      <c r="H52" s="80" t="str">
        <f>INDEX(Framework_Map!$E$5:$E$28,MATCH(E52,Framework_Map!$A$5:$A$28,0))</f>
        <v>GOVERN 1.6</v>
      </c>
      <c r="I52" s="80" t="str">
        <f>INDEX(Framework_Map!$F$5:$F$28,MATCH(E52,Framework_Map!$A$5:$A$28,0))</f>
        <v>Cl. 4.3; A.4.2</v>
      </c>
      <c r="J52" s="80" t="s">
        <v>84</v>
      </c>
      <c r="K52" s="80" t="s">
        <v>1287</v>
      </c>
      <c r="L52" s="80" t="s">
        <v>1203</v>
      </c>
      <c r="M52" s="82">
        <v>0.94</v>
      </c>
      <c r="N52" s="83">
        <f>IF(J52="Implemented",1,IF(J52="Partially Implemented",Config!$B$13,0))</f>
        <v>1</v>
      </c>
      <c r="O52" s="81">
        <v>46283</v>
      </c>
      <c r="P52" s="80" t="s">
        <v>1209</v>
      </c>
    </row>
    <row r="53" spans="1:16" ht="26.4" x14ac:dyDescent="0.3">
      <c r="A53" s="80" t="s">
        <v>1288</v>
      </c>
      <c r="B53" s="80" t="s">
        <v>1071</v>
      </c>
      <c r="C53" s="80" t="str">
        <f>INDEX(Syn_AI_Inventory!$B$5:$B$34,MATCH(B53,Syn_AI_Inventory!$A$5:$A$34,0))</f>
        <v>Voice Cloning IVR</v>
      </c>
      <c r="D53" s="80" t="str">
        <f>INDEX(Syn_Tiering!$Q$5:$Q$34,MATCH(B53,Syn_Tiering!$A$5:$A$34,0))</f>
        <v>T2 - Elevated</v>
      </c>
      <c r="E53" s="80" t="s">
        <v>777</v>
      </c>
      <c r="F53" s="80" t="str">
        <f>INDEX(Framework_Map!$C$5:$C$28,MATCH(E53,Framework_Map!$A$5:$A$28,0))</f>
        <v>Maintain AI system inventory with documented risk classification</v>
      </c>
      <c r="G53" s="80" t="str">
        <f>INDEX(Framework_Map!$D$5:$D$28,MATCH(E53,Framework_Map!$A$5:$A$28,0))</f>
        <v>Art. 6, Annex III; Art. 49 (registration)</v>
      </c>
      <c r="H53" s="80" t="str">
        <f>INDEX(Framework_Map!$E$5:$E$28,MATCH(E53,Framework_Map!$A$5:$A$28,0))</f>
        <v>GOVERN 1.6</v>
      </c>
      <c r="I53" s="80" t="str">
        <f>INDEX(Framework_Map!$F$5:$F$28,MATCH(E53,Framework_Map!$A$5:$A$28,0))</f>
        <v>Cl. 4.3; A.4.2</v>
      </c>
      <c r="J53" s="80" t="s">
        <v>84</v>
      </c>
      <c r="K53" s="80" t="s">
        <v>1289</v>
      </c>
      <c r="L53" s="80" t="s">
        <v>1203</v>
      </c>
      <c r="M53" s="82">
        <v>0.74</v>
      </c>
      <c r="N53" s="83">
        <f>IF(J53="Implemented",1,IF(J53="Partially Implemented",Config!$B$13,0))</f>
        <v>1</v>
      </c>
      <c r="O53" s="81">
        <v>46277</v>
      </c>
      <c r="P53" s="80" t="s">
        <v>1209</v>
      </c>
    </row>
    <row r="54" spans="1:16" ht="26.4" x14ac:dyDescent="0.3">
      <c r="A54" s="80" t="s">
        <v>1290</v>
      </c>
      <c r="B54" s="80" t="s">
        <v>1071</v>
      </c>
      <c r="C54" s="80" t="str">
        <f>INDEX(Syn_AI_Inventory!$B$5:$B$34,MATCH(B54,Syn_AI_Inventory!$A$5:$A$34,0))</f>
        <v>Voice Cloning IVR</v>
      </c>
      <c r="D54" s="80" t="str">
        <f>INDEX(Syn_Tiering!$Q$5:$Q$34,MATCH(B54,Syn_Tiering!$A$5:$A$34,0))</f>
        <v>T2 - Elevated</v>
      </c>
      <c r="E54" s="80" t="s">
        <v>787</v>
      </c>
      <c r="F54" s="80" t="str">
        <f>INDEX(Framework_Map!$C$5:$C$28,MATCH(E54,Framework_Map!$A$5:$A$28,0))</f>
        <v>Defined AI policy, roles and accountability</v>
      </c>
      <c r="G54" s="80" t="str">
        <f>INDEX(Framework_Map!$D$5:$D$28,MATCH(E54,Framework_Map!$A$5:$A$28,0))</f>
        <v>Art. 17 (QMS); Art. 26</v>
      </c>
      <c r="H54" s="80" t="str">
        <f>INDEX(Framework_Map!$E$5:$E$28,MATCH(E54,Framework_Map!$A$5:$A$28,0))</f>
        <v>GOVERN 1.2, GOVERN 2.1</v>
      </c>
      <c r="I54" s="80" t="str">
        <f>INDEX(Framework_Map!$F$5:$F$28,MATCH(E54,Framework_Map!$A$5:$A$28,0))</f>
        <v>Cl. 5.2, 5.3; A.2.2; A.3.2</v>
      </c>
      <c r="J54" s="80" t="s">
        <v>84</v>
      </c>
      <c r="K54" s="80" t="s">
        <v>1291</v>
      </c>
      <c r="L54" s="80" t="s">
        <v>1203</v>
      </c>
      <c r="M54" s="82">
        <v>0.85</v>
      </c>
      <c r="N54" s="83">
        <f>IF(J54="Implemented",1,IF(J54="Partially Implemented",Config!$B$13,0))</f>
        <v>1</v>
      </c>
      <c r="O54" s="81">
        <v>46290</v>
      </c>
      <c r="P54" s="80" t="s">
        <v>1209</v>
      </c>
    </row>
    <row r="55" spans="1:16" ht="26.4" x14ac:dyDescent="0.3">
      <c r="A55" s="80" t="s">
        <v>1292</v>
      </c>
      <c r="B55" s="80" t="s">
        <v>1071</v>
      </c>
      <c r="C55" s="80" t="str">
        <f>INDEX(Syn_AI_Inventory!$B$5:$B$34,MATCH(B55,Syn_AI_Inventory!$A$5:$A$34,0))</f>
        <v>Voice Cloning IVR</v>
      </c>
      <c r="D55" s="80" t="str">
        <f>INDEX(Syn_Tiering!$Q$5:$Q$34,MATCH(B55,Syn_Tiering!$A$5:$A$34,0))</f>
        <v>T2 - Elevated</v>
      </c>
      <c r="E55" s="80" t="s">
        <v>895</v>
      </c>
      <c r="F55" s="80" t="str">
        <f>INDEX(Framework_Map!$C$5:$C$28,MATCH(E55,Framework_Map!$A$5:$A$28,0))</f>
        <v>Disclose AI interaction; mark synthetic content; inform on emotion recognition</v>
      </c>
      <c r="G55" s="80" t="str">
        <f>INDEX(Framework_Map!$D$5:$D$28,MATCH(E55,Framework_Map!$A$5:$A$28,0))</f>
        <v>Art. 50</v>
      </c>
      <c r="H55" s="80" t="str">
        <f>INDEX(Framework_Map!$E$5:$E$28,MATCH(E55,Framework_Map!$A$5:$A$28,0))</f>
        <v>MEASURE 2.8</v>
      </c>
      <c r="I55" s="80" t="str">
        <f>INDEX(Framework_Map!$F$5:$F$28,MATCH(E55,Framework_Map!$A$5:$A$28,0))</f>
        <v>A.8.5; A.8.2</v>
      </c>
      <c r="J55" s="80" t="s">
        <v>85</v>
      </c>
      <c r="K55" s="80" t="s">
        <v>1293</v>
      </c>
      <c r="L55" s="80" t="s">
        <v>1203</v>
      </c>
      <c r="M55" s="82">
        <v>0.95</v>
      </c>
      <c r="N55" s="83">
        <f>IF(J55="Implemented",1,IF(J55="Partially Implemented",Config!$B$13,0))</f>
        <v>0.5</v>
      </c>
      <c r="O55" s="81">
        <v>46273</v>
      </c>
      <c r="P55" s="80" t="s">
        <v>1206</v>
      </c>
    </row>
    <row r="56" spans="1:16" ht="26.4" x14ac:dyDescent="0.3">
      <c r="A56" s="80" t="s">
        <v>1294</v>
      </c>
      <c r="B56" s="80" t="s">
        <v>1071</v>
      </c>
      <c r="C56" s="80" t="str">
        <f>INDEX(Syn_AI_Inventory!$B$5:$B$34,MATCH(B56,Syn_AI_Inventory!$A$5:$A$34,0))</f>
        <v>Voice Cloning IVR</v>
      </c>
      <c r="D56" s="80" t="str">
        <f>INDEX(Syn_Tiering!$Q$5:$Q$34,MATCH(B56,Syn_Tiering!$A$5:$A$34,0))</f>
        <v>T2 - Elevated</v>
      </c>
      <c r="E56" s="80" t="s">
        <v>909</v>
      </c>
      <c r="F56" s="80" t="str">
        <f>INDEX(Framework_Map!$C$5:$C$28,MATCH(E56,Framework_Map!$A$5:$A$28,0))</f>
        <v>AI literacy / role-based training</v>
      </c>
      <c r="G56" s="80" t="str">
        <f>INDEX(Framework_Map!$D$5:$D$28,MATCH(E56,Framework_Map!$A$5:$A$28,0))</f>
        <v>Art. 4 (verify wording post-Omnibus)</v>
      </c>
      <c r="H56" s="80" t="str">
        <f>INDEX(Framework_Map!$E$5:$E$28,MATCH(E56,Framework_Map!$A$5:$A$28,0))</f>
        <v>GOVERN 2.2</v>
      </c>
      <c r="I56" s="80" t="str">
        <f>INDEX(Framework_Map!$F$5:$F$28,MATCH(E56,Framework_Map!$A$5:$A$28,0))</f>
        <v>Cl. 7.2, 7.3; A.4.6</v>
      </c>
      <c r="J56" s="80" t="s">
        <v>86</v>
      </c>
      <c r="K56" s="80" t="s">
        <v>650</v>
      </c>
      <c r="L56" s="80" t="s">
        <v>1203</v>
      </c>
      <c r="M56" s="82">
        <v>0.92</v>
      </c>
      <c r="N56" s="83">
        <f>IF(J56="Implemented",1,IF(J56="Partially Implemented",Config!$B$13,0))</f>
        <v>0</v>
      </c>
      <c r="O56" s="81">
        <v>46271</v>
      </c>
      <c r="P56" s="80" t="s">
        <v>1201</v>
      </c>
    </row>
    <row r="57" spans="1:16" ht="26.4" x14ac:dyDescent="0.3">
      <c r="A57" s="80" t="s">
        <v>1295</v>
      </c>
      <c r="B57" s="80" t="s">
        <v>1075</v>
      </c>
      <c r="C57" s="80" t="str">
        <f>INDEX(Syn_AI_Inventory!$B$5:$B$34,MATCH(B57,Syn_AI_Inventory!$A$5:$A$34,0))</f>
        <v>Internal Knowledge Assistant</v>
      </c>
      <c r="D57" s="80" t="str">
        <f>INDEX(Syn_Tiering!$Q$5:$Q$34,MATCH(B57,Syn_Tiering!$A$5:$A$34,0))</f>
        <v>T2 - Elevated</v>
      </c>
      <c r="E57" s="80" t="s">
        <v>895</v>
      </c>
      <c r="F57" s="80" t="str">
        <f>INDEX(Framework_Map!$C$5:$C$28,MATCH(E57,Framework_Map!$A$5:$A$28,0))</f>
        <v>Disclose AI interaction; mark synthetic content; inform on emotion recognition</v>
      </c>
      <c r="G57" s="80" t="str">
        <f>INDEX(Framework_Map!$D$5:$D$28,MATCH(E57,Framework_Map!$A$5:$A$28,0))</f>
        <v>Art. 50</v>
      </c>
      <c r="H57" s="80" t="str">
        <f>INDEX(Framework_Map!$E$5:$E$28,MATCH(E57,Framework_Map!$A$5:$A$28,0))</f>
        <v>MEASURE 2.8</v>
      </c>
      <c r="I57" s="80" t="str">
        <f>INDEX(Framework_Map!$F$5:$F$28,MATCH(E57,Framework_Map!$A$5:$A$28,0))</f>
        <v>A.8.5; A.8.2</v>
      </c>
      <c r="J57" s="80" t="s">
        <v>86</v>
      </c>
      <c r="K57" s="80" t="s">
        <v>650</v>
      </c>
      <c r="L57" s="80" t="s">
        <v>1203</v>
      </c>
      <c r="M57" s="82">
        <v>0.71</v>
      </c>
      <c r="N57" s="83">
        <f>IF(J57="Implemented",1,IF(J57="Partially Implemented",Config!$B$13,0))</f>
        <v>0</v>
      </c>
      <c r="O57" s="81">
        <v>46278</v>
      </c>
      <c r="P57" s="80" t="s">
        <v>1201</v>
      </c>
    </row>
    <row r="58" spans="1:16" ht="26.4" x14ac:dyDescent="0.3">
      <c r="A58" s="80" t="s">
        <v>1296</v>
      </c>
      <c r="B58" s="80" t="s">
        <v>1075</v>
      </c>
      <c r="C58" s="80" t="str">
        <f>INDEX(Syn_AI_Inventory!$B$5:$B$34,MATCH(B58,Syn_AI_Inventory!$A$5:$A$34,0))</f>
        <v>Internal Knowledge Assistant</v>
      </c>
      <c r="D58" s="80" t="str">
        <f>INDEX(Syn_Tiering!$Q$5:$Q$34,MATCH(B58,Syn_Tiering!$A$5:$A$34,0))</f>
        <v>T2 - Elevated</v>
      </c>
      <c r="E58" s="80" t="s">
        <v>901</v>
      </c>
      <c r="F58" s="80" t="str">
        <f>INDEX(Framework_Map!$C$5:$C$28,MATCH(E58,Framework_Map!$A$5:$A$28,0))</f>
        <v>Supply-chain AI risk: supplier documentation, contracts, responsibilities</v>
      </c>
      <c r="G58" s="80" t="str">
        <f>INDEX(Framework_Map!$D$5:$D$28,MATCH(E58,Framework_Map!$A$5:$A$28,0))</f>
        <v>Art. 25</v>
      </c>
      <c r="H58" s="80" t="str">
        <f>INDEX(Framework_Map!$E$5:$E$28,MATCH(E58,Framework_Map!$A$5:$A$28,0))</f>
        <v>GOVERN 6.1, MAP 4.1</v>
      </c>
      <c r="I58" s="80" t="str">
        <f>INDEX(Framework_Map!$F$5:$F$28,MATCH(E58,Framework_Map!$A$5:$A$28,0))</f>
        <v>A.10.2, A.10.3</v>
      </c>
      <c r="J58" s="80" t="s">
        <v>86</v>
      </c>
      <c r="K58" s="80" t="s">
        <v>650</v>
      </c>
      <c r="L58" s="80" t="s">
        <v>1203</v>
      </c>
      <c r="M58" s="82">
        <v>0.7</v>
      </c>
      <c r="N58" s="83">
        <f>IF(J58="Implemented",1,IF(J58="Partially Implemented",Config!$B$13,0))</f>
        <v>0</v>
      </c>
      <c r="O58" s="81">
        <v>46277</v>
      </c>
      <c r="P58" s="80" t="s">
        <v>1201</v>
      </c>
    </row>
    <row r="59" spans="1:16" ht="26.4" x14ac:dyDescent="0.3">
      <c r="A59" s="80" t="s">
        <v>1297</v>
      </c>
      <c r="B59" s="80" t="s">
        <v>1075</v>
      </c>
      <c r="C59" s="80" t="str">
        <f>INDEX(Syn_AI_Inventory!$B$5:$B$34,MATCH(B59,Syn_AI_Inventory!$A$5:$A$34,0))</f>
        <v>Internal Knowledge Assistant</v>
      </c>
      <c r="D59" s="80" t="str">
        <f>INDEX(Syn_Tiering!$Q$5:$Q$34,MATCH(B59,Syn_Tiering!$A$5:$A$34,0))</f>
        <v>T2 - Elevated</v>
      </c>
      <c r="E59" s="80" t="s">
        <v>909</v>
      </c>
      <c r="F59" s="80" t="str">
        <f>INDEX(Framework_Map!$C$5:$C$28,MATCH(E59,Framework_Map!$A$5:$A$28,0))</f>
        <v>AI literacy / role-based training</v>
      </c>
      <c r="G59" s="80" t="str">
        <f>INDEX(Framework_Map!$D$5:$D$28,MATCH(E59,Framework_Map!$A$5:$A$28,0))</f>
        <v>Art. 4 (verify wording post-Omnibus)</v>
      </c>
      <c r="H59" s="80" t="str">
        <f>INDEX(Framework_Map!$E$5:$E$28,MATCH(E59,Framework_Map!$A$5:$A$28,0))</f>
        <v>GOVERN 2.2</v>
      </c>
      <c r="I59" s="80" t="str">
        <f>INDEX(Framework_Map!$F$5:$F$28,MATCH(E59,Framework_Map!$A$5:$A$28,0))</f>
        <v>Cl. 7.2, 7.3; A.4.6</v>
      </c>
      <c r="J59" s="80" t="s">
        <v>84</v>
      </c>
      <c r="K59" s="80" t="s">
        <v>1298</v>
      </c>
      <c r="L59" s="80" t="s">
        <v>1203</v>
      </c>
      <c r="M59" s="82">
        <v>0.7</v>
      </c>
      <c r="N59" s="83">
        <f>IF(J59="Implemented",1,IF(J59="Partially Implemented",Config!$B$13,0))</f>
        <v>1</v>
      </c>
      <c r="O59" s="81">
        <v>46278</v>
      </c>
      <c r="P59" s="80" t="s">
        <v>1209</v>
      </c>
    </row>
    <row r="60" spans="1:16" x14ac:dyDescent="0.3">
      <c r="A60" s="80" t="s">
        <v>1299</v>
      </c>
      <c r="B60" s="80" t="s">
        <v>1075</v>
      </c>
      <c r="C60" s="80" t="str">
        <f>INDEX(Syn_AI_Inventory!$B$5:$B$34,MATCH(B60,Syn_AI_Inventory!$A$5:$A$34,0))</f>
        <v>Internal Knowledge Assistant</v>
      </c>
      <c r="D60" s="80" t="str">
        <f>INDEX(Syn_Tiering!$Q$5:$Q$34,MATCH(B60,Syn_Tiering!$A$5:$A$34,0))</f>
        <v>T2 - Elevated</v>
      </c>
      <c r="E60" s="80" t="s">
        <v>944</v>
      </c>
      <c r="F60" s="80" t="str">
        <f>INDEX(Framework_Map!$C$5:$C$28,MATCH(E60,Framework_Map!$A$5:$A$28,0))</f>
        <v>Corrective action and lessons-learned loop</v>
      </c>
      <c r="G60" s="80" t="str">
        <f>INDEX(Framework_Map!$D$5:$D$28,MATCH(E60,Framework_Map!$A$5:$A$28,0))</f>
        <v>—</v>
      </c>
      <c r="H60" s="80" t="str">
        <f>INDEX(Framework_Map!$E$5:$E$28,MATCH(E60,Framework_Map!$A$5:$A$28,0))</f>
        <v>MANAGE 4.2</v>
      </c>
      <c r="I60" s="80" t="str">
        <f>INDEX(Framework_Map!$F$5:$F$28,MATCH(E60,Framework_Map!$A$5:$A$28,0))</f>
        <v>Cl. 10.1, 10.2</v>
      </c>
      <c r="J60" s="80" t="s">
        <v>84</v>
      </c>
      <c r="K60" s="80" t="s">
        <v>1300</v>
      </c>
      <c r="L60" s="80" t="s">
        <v>1203</v>
      </c>
      <c r="M60" s="82">
        <v>0.95</v>
      </c>
      <c r="N60" s="83">
        <f>IF(J60="Implemented",1,IF(J60="Partially Implemented",Config!$B$13,0))</f>
        <v>1</v>
      </c>
      <c r="O60" s="81">
        <v>46277</v>
      </c>
      <c r="P60" s="80" t="s">
        <v>1209</v>
      </c>
    </row>
    <row r="61" spans="1:16" ht="26.4" x14ac:dyDescent="0.3">
      <c r="A61" s="80" t="s">
        <v>1301</v>
      </c>
      <c r="B61" s="80" t="s">
        <v>1079</v>
      </c>
      <c r="C61" s="80" t="str">
        <f>INDEX(Syn_AI_Inventory!$B$5:$B$34,MATCH(B61,Syn_AI_Inventory!$A$5:$A$34,0))</f>
        <v>NorthLM-70B Foundation Model</v>
      </c>
      <c r="D61" s="80" t="str">
        <f>INDEX(Syn_Tiering!$Q$5:$Q$34,MATCH(B61,Syn_Tiering!$A$5:$A$34,0))</f>
        <v>T2 - Elevated</v>
      </c>
      <c r="E61" s="80" t="s">
        <v>787</v>
      </c>
      <c r="F61" s="80" t="str">
        <f>INDEX(Framework_Map!$C$5:$C$28,MATCH(E61,Framework_Map!$A$5:$A$28,0))</f>
        <v>Defined AI policy, roles and accountability</v>
      </c>
      <c r="G61" s="80" t="str">
        <f>INDEX(Framework_Map!$D$5:$D$28,MATCH(E61,Framework_Map!$A$5:$A$28,0))</f>
        <v>Art. 17 (QMS); Art. 26</v>
      </c>
      <c r="H61" s="80" t="str">
        <f>INDEX(Framework_Map!$E$5:$E$28,MATCH(E61,Framework_Map!$A$5:$A$28,0))</f>
        <v>GOVERN 1.2, GOVERN 2.1</v>
      </c>
      <c r="I61" s="80" t="str">
        <f>INDEX(Framework_Map!$F$5:$F$28,MATCH(E61,Framework_Map!$A$5:$A$28,0))</f>
        <v>Cl. 5.2, 5.3; A.2.2; A.3.2</v>
      </c>
      <c r="J61" s="80" t="s">
        <v>86</v>
      </c>
      <c r="K61" s="80" t="s">
        <v>650</v>
      </c>
      <c r="L61" s="80" t="s">
        <v>1203</v>
      </c>
      <c r="M61" s="82">
        <v>0.92</v>
      </c>
      <c r="N61" s="83">
        <f>IF(J61="Implemented",1,IF(J61="Partially Implemented",Config!$B$13,0))</f>
        <v>0</v>
      </c>
      <c r="O61" s="81">
        <v>46271</v>
      </c>
      <c r="P61" s="80" t="s">
        <v>1201</v>
      </c>
    </row>
    <row r="62" spans="1:16" ht="26.4" x14ac:dyDescent="0.3">
      <c r="A62" s="80" t="s">
        <v>1302</v>
      </c>
      <c r="B62" s="80" t="s">
        <v>1079</v>
      </c>
      <c r="C62" s="80" t="str">
        <f>INDEX(Syn_AI_Inventory!$B$5:$B$34,MATCH(B62,Syn_AI_Inventory!$A$5:$A$34,0))</f>
        <v>NorthLM-70B Foundation Model</v>
      </c>
      <c r="D62" s="80" t="str">
        <f>INDEX(Syn_Tiering!$Q$5:$Q$34,MATCH(B62,Syn_Tiering!$A$5:$A$34,0))</f>
        <v>T2 - Elevated</v>
      </c>
      <c r="E62" s="80" t="s">
        <v>901</v>
      </c>
      <c r="F62" s="80" t="str">
        <f>INDEX(Framework_Map!$C$5:$C$28,MATCH(E62,Framework_Map!$A$5:$A$28,0))</f>
        <v>Supply-chain AI risk: supplier documentation, contracts, responsibilities</v>
      </c>
      <c r="G62" s="80" t="str">
        <f>INDEX(Framework_Map!$D$5:$D$28,MATCH(E62,Framework_Map!$A$5:$A$28,0))</f>
        <v>Art. 25</v>
      </c>
      <c r="H62" s="80" t="str">
        <f>INDEX(Framework_Map!$E$5:$E$28,MATCH(E62,Framework_Map!$A$5:$A$28,0))</f>
        <v>GOVERN 6.1, MAP 4.1</v>
      </c>
      <c r="I62" s="80" t="str">
        <f>INDEX(Framework_Map!$F$5:$F$28,MATCH(E62,Framework_Map!$A$5:$A$28,0))</f>
        <v>A.10.2, A.10.3</v>
      </c>
      <c r="J62" s="80" t="s">
        <v>85</v>
      </c>
      <c r="K62" s="80" t="s">
        <v>1303</v>
      </c>
      <c r="L62" s="80" t="s">
        <v>1203</v>
      </c>
      <c r="M62" s="82">
        <v>0.63</v>
      </c>
      <c r="N62" s="83">
        <f>IF(J62="Implemented",1,IF(J62="Partially Implemented",Config!$B$13,0))</f>
        <v>0.5</v>
      </c>
      <c r="O62" s="81">
        <v>46279</v>
      </c>
      <c r="P62" s="80" t="s">
        <v>1212</v>
      </c>
    </row>
    <row r="63" spans="1:16" ht="26.4" x14ac:dyDescent="0.3">
      <c r="A63" s="80" t="s">
        <v>1304</v>
      </c>
      <c r="B63" s="80" t="s">
        <v>1079</v>
      </c>
      <c r="C63" s="80" t="str">
        <f>INDEX(Syn_AI_Inventory!$B$5:$B$34,MATCH(B63,Syn_AI_Inventory!$A$5:$A$34,0))</f>
        <v>NorthLM-70B Foundation Model</v>
      </c>
      <c r="D63" s="80" t="str">
        <f>INDEX(Syn_Tiering!$Q$5:$Q$34,MATCH(B63,Syn_Tiering!$A$5:$A$34,0))</f>
        <v>T2 - Elevated</v>
      </c>
      <c r="E63" s="80" t="s">
        <v>909</v>
      </c>
      <c r="F63" s="80" t="str">
        <f>INDEX(Framework_Map!$C$5:$C$28,MATCH(E63,Framework_Map!$A$5:$A$28,0))</f>
        <v>AI literacy / role-based training</v>
      </c>
      <c r="G63" s="80" t="str">
        <f>INDEX(Framework_Map!$D$5:$D$28,MATCH(E63,Framework_Map!$A$5:$A$28,0))</f>
        <v>Art. 4 (verify wording post-Omnibus)</v>
      </c>
      <c r="H63" s="80" t="str">
        <f>INDEX(Framework_Map!$E$5:$E$28,MATCH(E63,Framework_Map!$A$5:$A$28,0))</f>
        <v>GOVERN 2.2</v>
      </c>
      <c r="I63" s="80" t="str">
        <f>INDEX(Framework_Map!$F$5:$F$28,MATCH(E63,Framework_Map!$A$5:$A$28,0))</f>
        <v>Cl. 7.2, 7.3; A.4.6</v>
      </c>
      <c r="J63" s="80" t="s">
        <v>84</v>
      </c>
      <c r="K63" s="80" t="s">
        <v>1305</v>
      </c>
      <c r="L63" s="80" t="s">
        <v>1203</v>
      </c>
      <c r="M63" s="82">
        <v>0.77</v>
      </c>
      <c r="N63" s="83">
        <f>IF(J63="Implemented",1,IF(J63="Partially Implemented",Config!$B$13,0))</f>
        <v>1</v>
      </c>
      <c r="O63" s="81">
        <v>46269</v>
      </c>
      <c r="P63" s="80" t="s">
        <v>1209</v>
      </c>
    </row>
    <row r="64" spans="1:16" ht="26.4" x14ac:dyDescent="0.3">
      <c r="A64" s="80" t="s">
        <v>1306</v>
      </c>
      <c r="B64" s="80" t="s">
        <v>1079</v>
      </c>
      <c r="C64" s="80" t="str">
        <f>INDEX(Syn_AI_Inventory!$B$5:$B$34,MATCH(B64,Syn_AI_Inventory!$A$5:$A$34,0))</f>
        <v>NorthLM-70B Foundation Model</v>
      </c>
      <c r="D64" s="80" t="str">
        <f>INDEX(Syn_Tiering!$Q$5:$Q$34,MATCH(B64,Syn_Tiering!$A$5:$A$34,0))</f>
        <v>T2 - Elevated</v>
      </c>
      <c r="E64" s="80" t="s">
        <v>923</v>
      </c>
      <c r="F64" s="80" t="str">
        <f>INDEX(Framework_Map!$C$5:$C$28,MATCH(E64,Framework_Map!$A$5:$A$28,0))</f>
        <v>GPAI technical documentation, copyright policy, training-content summary</v>
      </c>
      <c r="G64" s="80" t="str">
        <f>INDEX(Framework_Map!$D$5:$D$28,MATCH(E64,Framework_Map!$A$5:$A$28,0))</f>
        <v>Art. 53</v>
      </c>
      <c r="H64" s="80" t="str">
        <f>INDEX(Framework_Map!$E$5:$E$28,MATCH(E64,Framework_Map!$A$5:$A$28,0))</f>
        <v>MAP 4.1</v>
      </c>
      <c r="I64" s="80" t="str">
        <f>INDEX(Framework_Map!$F$5:$F$28,MATCH(E64,Framework_Map!$A$5:$A$28,0))</f>
        <v>A.6.2.7; A.7.5</v>
      </c>
      <c r="J64" s="80" t="s">
        <v>84</v>
      </c>
      <c r="K64" s="80" t="s">
        <v>1307</v>
      </c>
      <c r="L64" s="80" t="s">
        <v>1200</v>
      </c>
      <c r="M64" s="82">
        <v>0.68</v>
      </c>
      <c r="N64" s="83">
        <f>IF(J64="Implemented",1,IF(J64="Partially Implemented",Config!$B$13,0))</f>
        <v>1</v>
      </c>
      <c r="O64" s="81">
        <v>46288</v>
      </c>
      <c r="P64" s="80" t="s">
        <v>1209</v>
      </c>
    </row>
    <row r="65" spans="1:16" ht="26.4" x14ac:dyDescent="0.3">
      <c r="A65" s="80" t="s">
        <v>1308</v>
      </c>
      <c r="B65" s="80" t="s">
        <v>1084</v>
      </c>
      <c r="C65" s="80" t="str">
        <f>INDEX(Syn_AI_Inventory!$B$5:$B$34,MATCH(B65,Syn_AI_Inventory!$A$5:$A$34,0))</f>
        <v>Developer Code Assistant</v>
      </c>
      <c r="D65" s="80" t="str">
        <f>INDEX(Syn_Tiering!$Q$5:$Q$34,MATCH(B65,Syn_Tiering!$A$5:$A$34,0))</f>
        <v>T3 - Standard</v>
      </c>
      <c r="E65" s="80" t="s">
        <v>777</v>
      </c>
      <c r="F65" s="80" t="str">
        <f>INDEX(Framework_Map!$C$5:$C$28,MATCH(E65,Framework_Map!$A$5:$A$28,0))</f>
        <v>Maintain AI system inventory with documented risk classification</v>
      </c>
      <c r="G65" s="80" t="str">
        <f>INDEX(Framework_Map!$D$5:$D$28,MATCH(E65,Framework_Map!$A$5:$A$28,0))</f>
        <v>Art. 6, Annex III; Art. 49 (registration)</v>
      </c>
      <c r="H65" s="80" t="str">
        <f>INDEX(Framework_Map!$E$5:$E$28,MATCH(E65,Framework_Map!$A$5:$A$28,0))</f>
        <v>GOVERN 1.6</v>
      </c>
      <c r="I65" s="80" t="str">
        <f>INDEX(Framework_Map!$F$5:$F$28,MATCH(E65,Framework_Map!$A$5:$A$28,0))</f>
        <v>Cl. 4.3; A.4.2</v>
      </c>
      <c r="J65" s="80" t="s">
        <v>84</v>
      </c>
      <c r="K65" s="80" t="s">
        <v>1309</v>
      </c>
      <c r="L65" s="80" t="s">
        <v>1200</v>
      </c>
      <c r="M65" s="82">
        <v>0.93</v>
      </c>
      <c r="N65" s="83">
        <f>IF(J65="Implemented",1,IF(J65="Partially Implemented",Config!$B$13,0))</f>
        <v>1</v>
      </c>
      <c r="O65" s="81">
        <v>46287</v>
      </c>
      <c r="P65" s="80" t="s">
        <v>1209</v>
      </c>
    </row>
    <row r="66" spans="1:16" ht="26.4" x14ac:dyDescent="0.3">
      <c r="A66" s="80" t="s">
        <v>1310</v>
      </c>
      <c r="B66" s="80" t="s">
        <v>1084</v>
      </c>
      <c r="C66" s="80" t="str">
        <f>INDEX(Syn_AI_Inventory!$B$5:$B$34,MATCH(B66,Syn_AI_Inventory!$A$5:$A$34,0))</f>
        <v>Developer Code Assistant</v>
      </c>
      <c r="D66" s="80" t="str">
        <f>INDEX(Syn_Tiering!$Q$5:$Q$34,MATCH(B66,Syn_Tiering!$A$5:$A$34,0))</f>
        <v>T3 - Standard</v>
      </c>
      <c r="E66" s="80" t="s">
        <v>909</v>
      </c>
      <c r="F66" s="80" t="str">
        <f>INDEX(Framework_Map!$C$5:$C$28,MATCH(E66,Framework_Map!$A$5:$A$28,0))</f>
        <v>AI literacy / role-based training</v>
      </c>
      <c r="G66" s="80" t="str">
        <f>INDEX(Framework_Map!$D$5:$D$28,MATCH(E66,Framework_Map!$A$5:$A$28,0))</f>
        <v>Art. 4 (verify wording post-Omnibus)</v>
      </c>
      <c r="H66" s="80" t="str">
        <f>INDEX(Framework_Map!$E$5:$E$28,MATCH(E66,Framework_Map!$A$5:$A$28,0))</f>
        <v>GOVERN 2.2</v>
      </c>
      <c r="I66" s="80" t="str">
        <f>INDEX(Framework_Map!$F$5:$F$28,MATCH(E66,Framework_Map!$A$5:$A$28,0))</f>
        <v>Cl. 7.2, 7.3; A.4.6</v>
      </c>
      <c r="J66" s="80" t="s">
        <v>85</v>
      </c>
      <c r="K66" s="80" t="s">
        <v>1311</v>
      </c>
      <c r="L66" s="80" t="s">
        <v>1200</v>
      </c>
      <c r="M66" s="82">
        <v>0.87</v>
      </c>
      <c r="N66" s="83">
        <f>IF(J66="Implemented",1,IF(J66="Partially Implemented",Config!$B$13,0))</f>
        <v>0.5</v>
      </c>
      <c r="O66" s="81">
        <v>46277</v>
      </c>
      <c r="P66" s="80" t="s">
        <v>1206</v>
      </c>
    </row>
    <row r="67" spans="1:16" ht="26.4" x14ac:dyDescent="0.3">
      <c r="A67" s="80" t="s">
        <v>1312</v>
      </c>
      <c r="B67" s="80" t="s">
        <v>1088</v>
      </c>
      <c r="C67" s="80" t="str">
        <f>INDEX(Syn_AI_Inventory!$B$5:$B$34,MATCH(B67,Syn_AI_Inventory!$A$5:$A$34,0))</f>
        <v>Trading Anomaly Detection</v>
      </c>
      <c r="D67" s="80" t="str">
        <f>INDEX(Syn_Tiering!$Q$5:$Q$34,MATCH(B67,Syn_Tiering!$A$5:$A$34,0))</f>
        <v>T3 - Standard</v>
      </c>
      <c r="E67" s="80" t="s">
        <v>777</v>
      </c>
      <c r="F67" s="80" t="str">
        <f>INDEX(Framework_Map!$C$5:$C$28,MATCH(E67,Framework_Map!$A$5:$A$28,0))</f>
        <v>Maintain AI system inventory with documented risk classification</v>
      </c>
      <c r="G67" s="80" t="str">
        <f>INDEX(Framework_Map!$D$5:$D$28,MATCH(E67,Framework_Map!$A$5:$A$28,0))</f>
        <v>Art. 6, Annex III; Art. 49 (registration)</v>
      </c>
      <c r="H67" s="80" t="str">
        <f>INDEX(Framework_Map!$E$5:$E$28,MATCH(E67,Framework_Map!$A$5:$A$28,0))</f>
        <v>GOVERN 1.6</v>
      </c>
      <c r="I67" s="80" t="str">
        <f>INDEX(Framework_Map!$F$5:$F$28,MATCH(E67,Framework_Map!$A$5:$A$28,0))</f>
        <v>Cl. 4.3; A.4.2</v>
      </c>
      <c r="J67" s="80" t="s">
        <v>84</v>
      </c>
      <c r="K67" s="80" t="s">
        <v>1313</v>
      </c>
      <c r="L67" s="80" t="s">
        <v>1200</v>
      </c>
      <c r="M67" s="82">
        <v>0.93</v>
      </c>
      <c r="N67" s="83">
        <f>IF(J67="Implemented",1,IF(J67="Partially Implemented",Config!$B$13,0))</f>
        <v>1</v>
      </c>
      <c r="O67" s="81">
        <v>46276</v>
      </c>
      <c r="P67" s="80" t="s">
        <v>1209</v>
      </c>
    </row>
    <row r="68" spans="1:16" ht="26.4" x14ac:dyDescent="0.3">
      <c r="A68" s="80" t="s">
        <v>1314</v>
      </c>
      <c r="B68" s="80" t="s">
        <v>1088</v>
      </c>
      <c r="C68" s="80" t="str">
        <f>INDEX(Syn_AI_Inventory!$B$5:$B$34,MATCH(B68,Syn_AI_Inventory!$A$5:$A$34,0))</f>
        <v>Trading Anomaly Detection</v>
      </c>
      <c r="D68" s="80" t="str">
        <f>INDEX(Syn_Tiering!$Q$5:$Q$34,MATCH(B68,Syn_Tiering!$A$5:$A$34,0))</f>
        <v>T3 - Standard</v>
      </c>
      <c r="E68" s="80" t="s">
        <v>909</v>
      </c>
      <c r="F68" s="80" t="str">
        <f>INDEX(Framework_Map!$C$5:$C$28,MATCH(E68,Framework_Map!$A$5:$A$28,0))</f>
        <v>AI literacy / role-based training</v>
      </c>
      <c r="G68" s="80" t="str">
        <f>INDEX(Framework_Map!$D$5:$D$28,MATCH(E68,Framework_Map!$A$5:$A$28,0))</f>
        <v>Art. 4 (verify wording post-Omnibus)</v>
      </c>
      <c r="H68" s="80" t="str">
        <f>INDEX(Framework_Map!$E$5:$E$28,MATCH(E68,Framework_Map!$A$5:$A$28,0))</f>
        <v>GOVERN 2.2</v>
      </c>
      <c r="I68" s="80" t="str">
        <f>INDEX(Framework_Map!$F$5:$F$28,MATCH(E68,Framework_Map!$A$5:$A$28,0))</f>
        <v>Cl. 7.2, 7.3; A.4.6</v>
      </c>
      <c r="J68" s="80" t="s">
        <v>85</v>
      </c>
      <c r="K68" s="80" t="s">
        <v>1315</v>
      </c>
      <c r="L68" s="80" t="s">
        <v>1203</v>
      </c>
      <c r="M68" s="82">
        <v>0.86</v>
      </c>
      <c r="N68" s="83">
        <f>IF(J68="Implemented",1,IF(J68="Partially Implemented",Config!$B$13,0))</f>
        <v>0.5</v>
      </c>
      <c r="O68" s="81">
        <v>46282</v>
      </c>
      <c r="P68" s="80" t="s">
        <v>1222</v>
      </c>
    </row>
    <row r="69" spans="1:16" ht="26.4" x14ac:dyDescent="0.3">
      <c r="A69" s="80" t="s">
        <v>1316</v>
      </c>
      <c r="B69" s="80" t="s">
        <v>1093</v>
      </c>
      <c r="C69" s="80" t="str">
        <f>INDEX(Syn_AI_Inventory!$B$5:$B$34,MATCH(B69,Syn_AI_Inventory!$A$5:$A$34,0))</f>
        <v>APAC Branch Credit Pre-Screen (Singapore only)</v>
      </c>
      <c r="D69" s="80" t="str">
        <f>INDEX(Syn_Tiering!$Q$5:$Q$34,MATCH(B69,Syn_Tiering!$A$5:$A$34,0))</f>
        <v>T1 - Critical</v>
      </c>
      <c r="E69" s="80" t="s">
        <v>787</v>
      </c>
      <c r="F69" s="80" t="str">
        <f>INDEX(Framework_Map!$C$5:$C$28,MATCH(E69,Framework_Map!$A$5:$A$28,0))</f>
        <v>Defined AI policy, roles and accountability</v>
      </c>
      <c r="G69" s="80" t="str">
        <f>INDEX(Framework_Map!$D$5:$D$28,MATCH(E69,Framework_Map!$A$5:$A$28,0))</f>
        <v>Art. 17 (QMS); Art. 26</v>
      </c>
      <c r="H69" s="80" t="str">
        <f>INDEX(Framework_Map!$E$5:$E$28,MATCH(E69,Framework_Map!$A$5:$A$28,0))</f>
        <v>GOVERN 1.2, GOVERN 2.1</v>
      </c>
      <c r="I69" s="80" t="str">
        <f>INDEX(Framework_Map!$F$5:$F$28,MATCH(E69,Framework_Map!$A$5:$A$28,0))</f>
        <v>Cl. 5.2, 5.3; A.2.2; A.3.2</v>
      </c>
      <c r="J69" s="80" t="s">
        <v>85</v>
      </c>
      <c r="K69" s="80" t="s">
        <v>1317</v>
      </c>
      <c r="L69" s="80" t="s">
        <v>1200</v>
      </c>
      <c r="M69" s="82">
        <v>0.66</v>
      </c>
      <c r="N69" s="83">
        <f>IF(J69="Implemented",1,IF(J69="Partially Implemented",Config!$B$13,0))</f>
        <v>0.5</v>
      </c>
      <c r="O69" s="81">
        <v>46287</v>
      </c>
      <c r="P69" s="80" t="s">
        <v>1263</v>
      </c>
    </row>
    <row r="70" spans="1:16" ht="26.4" x14ac:dyDescent="0.3">
      <c r="A70" s="80" t="s">
        <v>1318</v>
      </c>
      <c r="B70" s="80" t="s">
        <v>1093</v>
      </c>
      <c r="C70" s="80" t="str">
        <f>INDEX(Syn_AI_Inventory!$B$5:$B$34,MATCH(B70,Syn_AI_Inventory!$A$5:$A$34,0))</f>
        <v>APAC Branch Credit Pre-Screen (Singapore only)</v>
      </c>
      <c r="D70" s="80" t="str">
        <f>INDEX(Syn_Tiering!$Q$5:$Q$34,MATCH(B70,Syn_Tiering!$A$5:$A$34,0))</f>
        <v>T1 - Critical</v>
      </c>
      <c r="E70" s="80" t="s">
        <v>794</v>
      </c>
      <c r="F70" s="80" t="str">
        <f>INDEX(Framework_Map!$C$5:$C$28,MATCH(E70,Framework_Map!$A$5:$A$28,0))</f>
        <v>Lifecycle risk management system for the AI system</v>
      </c>
      <c r="G70" s="80" t="str">
        <f>INDEX(Framework_Map!$D$5:$D$28,MATCH(E70,Framework_Map!$A$5:$A$28,0))</f>
        <v>Art. 9</v>
      </c>
      <c r="H70" s="80" t="str">
        <f>INDEX(Framework_Map!$E$5:$E$28,MATCH(E70,Framework_Map!$A$5:$A$28,0))</f>
        <v>MAP 5.1, MANAGE 1.2</v>
      </c>
      <c r="I70" s="80" t="str">
        <f>INDEX(Framework_Map!$F$5:$F$28,MATCH(E70,Framework_Map!$A$5:$A$28,0))</f>
        <v>Cl. 6.1.2, 6.1.3, 8.2, 8.3</v>
      </c>
      <c r="J70" s="80" t="s">
        <v>86</v>
      </c>
      <c r="K70" s="80" t="s">
        <v>650</v>
      </c>
      <c r="L70" s="80" t="s">
        <v>1200</v>
      </c>
      <c r="M70" s="82">
        <v>0.87</v>
      </c>
      <c r="N70" s="83">
        <f>IF(J70="Implemented",1,IF(J70="Partially Implemented",Config!$B$13,0))</f>
        <v>0</v>
      </c>
      <c r="O70" s="81">
        <v>46285</v>
      </c>
      <c r="P70" s="80" t="s">
        <v>1201</v>
      </c>
    </row>
    <row r="71" spans="1:16" ht="26.4" x14ac:dyDescent="0.3">
      <c r="A71" s="80" t="s">
        <v>1319</v>
      </c>
      <c r="B71" s="80" t="s">
        <v>1093</v>
      </c>
      <c r="C71" s="80" t="str">
        <f>INDEX(Syn_AI_Inventory!$B$5:$B$34,MATCH(B71,Syn_AI_Inventory!$A$5:$A$34,0))</f>
        <v>APAC Branch Credit Pre-Screen (Singapore only)</v>
      </c>
      <c r="D71" s="80" t="str">
        <f>INDEX(Syn_Tiering!$Q$5:$Q$34,MATCH(B71,Syn_Tiering!$A$5:$A$34,0))</f>
        <v>T1 - Critical</v>
      </c>
      <c r="E71" s="80" t="s">
        <v>840</v>
      </c>
      <c r="F71" s="80" t="str">
        <f>INDEX(Framework_Map!$C$5:$C$28,MATCH(E71,Framework_Map!$A$5:$A$28,0))</f>
        <v>Accuracy, robustness and cybersecurity</v>
      </c>
      <c r="G71" s="80" t="str">
        <f>INDEX(Framework_Map!$D$5:$D$28,MATCH(E71,Framework_Map!$A$5:$A$28,0))</f>
        <v>Art. 15</v>
      </c>
      <c r="H71" s="80" t="str">
        <f>INDEX(Framework_Map!$E$5:$E$28,MATCH(E71,Framework_Map!$A$5:$A$28,0))</f>
        <v>MEASURE 2.5, MEASURE 2.7</v>
      </c>
      <c r="I71" s="80" t="str">
        <f>INDEX(Framework_Map!$F$5:$F$28,MATCH(E71,Framework_Map!$A$5:$A$28,0))</f>
        <v>A.6.2.4</v>
      </c>
      <c r="J71" s="80" t="s">
        <v>85</v>
      </c>
      <c r="K71" s="80" t="s">
        <v>1320</v>
      </c>
      <c r="L71" s="80" t="s">
        <v>1203</v>
      </c>
      <c r="M71" s="82">
        <v>0.81</v>
      </c>
      <c r="N71" s="83">
        <f>IF(J71="Implemented",1,IF(J71="Partially Implemented",Config!$B$13,0))</f>
        <v>0.5</v>
      </c>
      <c r="O71" s="81">
        <v>46275</v>
      </c>
      <c r="P71" s="80" t="s">
        <v>1269</v>
      </c>
    </row>
    <row r="72" spans="1:16" ht="26.4" x14ac:dyDescent="0.3">
      <c r="A72" s="80" t="s">
        <v>1321</v>
      </c>
      <c r="B72" s="80" t="s">
        <v>1093</v>
      </c>
      <c r="C72" s="80" t="str">
        <f>INDEX(Syn_AI_Inventory!$B$5:$B$34,MATCH(B72,Syn_AI_Inventory!$A$5:$A$34,0))</f>
        <v>APAC Branch Credit Pre-Screen (Singapore only)</v>
      </c>
      <c r="D72" s="80" t="str">
        <f>INDEX(Syn_Tiering!$Q$5:$Q$34,MATCH(B72,Syn_Tiering!$A$5:$A$34,0))</f>
        <v>T1 - Critical</v>
      </c>
      <c r="E72" s="80" t="s">
        <v>909</v>
      </c>
      <c r="F72" s="80" t="str">
        <f>INDEX(Framework_Map!$C$5:$C$28,MATCH(E72,Framework_Map!$A$5:$A$28,0))</f>
        <v>AI literacy / role-based training</v>
      </c>
      <c r="G72" s="80" t="str">
        <f>INDEX(Framework_Map!$D$5:$D$28,MATCH(E72,Framework_Map!$A$5:$A$28,0))</f>
        <v>Art. 4 (verify wording post-Omnibus)</v>
      </c>
      <c r="H72" s="80" t="str">
        <f>INDEX(Framework_Map!$E$5:$E$28,MATCH(E72,Framework_Map!$A$5:$A$28,0))</f>
        <v>GOVERN 2.2</v>
      </c>
      <c r="I72" s="80" t="str">
        <f>INDEX(Framework_Map!$F$5:$F$28,MATCH(E72,Framework_Map!$A$5:$A$28,0))</f>
        <v>Cl. 7.2, 7.3; A.4.6</v>
      </c>
      <c r="J72" s="80" t="s">
        <v>84</v>
      </c>
      <c r="K72" s="80" t="s">
        <v>1322</v>
      </c>
      <c r="L72" s="80" t="s">
        <v>1203</v>
      </c>
      <c r="M72" s="82">
        <v>0.89</v>
      </c>
      <c r="N72" s="83">
        <f>IF(J72="Implemented",1,IF(J72="Partially Implemented",Config!$B$13,0))</f>
        <v>1</v>
      </c>
      <c r="O72" s="81">
        <v>46286</v>
      </c>
      <c r="P72" s="80" t="s">
        <v>1209</v>
      </c>
    </row>
    <row r="73" spans="1:16" ht="26.4" x14ac:dyDescent="0.3">
      <c r="A73" s="80" t="s">
        <v>1323</v>
      </c>
      <c r="B73" s="80" t="s">
        <v>1096</v>
      </c>
      <c r="C73" s="80" t="str">
        <f>INDEX(Syn_AI_Inventory!$B$5:$B$34,MATCH(B73,Syn_AI_Inventory!$A$5:$A$34,0))</f>
        <v>Loan Document OCR &amp; Extraction</v>
      </c>
      <c r="D73" s="80" t="str">
        <f>INDEX(Syn_Tiering!$Q$5:$Q$34,MATCH(B73,Syn_Tiering!$A$5:$A$34,0))</f>
        <v>T2 - Elevated</v>
      </c>
      <c r="E73" s="80" t="s">
        <v>777</v>
      </c>
      <c r="F73" s="80" t="str">
        <f>INDEX(Framework_Map!$C$5:$C$28,MATCH(E73,Framework_Map!$A$5:$A$28,0))</f>
        <v>Maintain AI system inventory with documented risk classification</v>
      </c>
      <c r="G73" s="80" t="str">
        <f>INDEX(Framework_Map!$D$5:$D$28,MATCH(E73,Framework_Map!$A$5:$A$28,0))</f>
        <v>Art. 6, Annex III; Art. 49 (registration)</v>
      </c>
      <c r="H73" s="80" t="str">
        <f>INDEX(Framework_Map!$E$5:$E$28,MATCH(E73,Framework_Map!$A$5:$A$28,0))</f>
        <v>GOVERN 1.6</v>
      </c>
      <c r="I73" s="80" t="str">
        <f>INDEX(Framework_Map!$F$5:$F$28,MATCH(E73,Framework_Map!$A$5:$A$28,0))</f>
        <v>Cl. 4.3; A.4.2</v>
      </c>
      <c r="J73" s="80" t="s">
        <v>84</v>
      </c>
      <c r="K73" s="80" t="s">
        <v>1324</v>
      </c>
      <c r="L73" s="80" t="s">
        <v>1203</v>
      </c>
      <c r="M73" s="82">
        <v>0.77</v>
      </c>
      <c r="N73" s="83">
        <f>IF(J73="Implemented",1,IF(J73="Partially Implemented",Config!$B$13,0))</f>
        <v>1</v>
      </c>
      <c r="O73" s="81">
        <v>46282</v>
      </c>
      <c r="P73" s="80" t="s">
        <v>1209</v>
      </c>
    </row>
    <row r="74" spans="1:16" ht="26.4" x14ac:dyDescent="0.3">
      <c r="A74" s="80" t="s">
        <v>1325</v>
      </c>
      <c r="B74" s="80" t="s">
        <v>1096</v>
      </c>
      <c r="C74" s="80" t="str">
        <f>INDEX(Syn_AI_Inventory!$B$5:$B$34,MATCH(B74,Syn_AI_Inventory!$A$5:$A$34,0))</f>
        <v>Loan Document OCR &amp; Extraction</v>
      </c>
      <c r="D74" s="80" t="str">
        <f>INDEX(Syn_Tiering!$Q$5:$Q$34,MATCH(B74,Syn_Tiering!$A$5:$A$34,0))</f>
        <v>T2 - Elevated</v>
      </c>
      <c r="E74" s="80" t="s">
        <v>909</v>
      </c>
      <c r="F74" s="80" t="str">
        <f>INDEX(Framework_Map!$C$5:$C$28,MATCH(E74,Framework_Map!$A$5:$A$28,0))</f>
        <v>AI literacy / role-based training</v>
      </c>
      <c r="G74" s="80" t="str">
        <f>INDEX(Framework_Map!$D$5:$D$28,MATCH(E74,Framework_Map!$A$5:$A$28,0))</f>
        <v>Art. 4 (verify wording post-Omnibus)</v>
      </c>
      <c r="H74" s="80" t="str">
        <f>INDEX(Framework_Map!$E$5:$E$28,MATCH(E74,Framework_Map!$A$5:$A$28,0))</f>
        <v>GOVERN 2.2</v>
      </c>
      <c r="I74" s="80" t="str">
        <f>INDEX(Framework_Map!$F$5:$F$28,MATCH(E74,Framework_Map!$A$5:$A$28,0))</f>
        <v>Cl. 7.2, 7.3; A.4.6</v>
      </c>
      <c r="J74" s="80" t="s">
        <v>84</v>
      </c>
      <c r="K74" s="80" t="s">
        <v>1326</v>
      </c>
      <c r="L74" s="80" t="s">
        <v>1200</v>
      </c>
      <c r="M74" s="82">
        <v>0.68</v>
      </c>
      <c r="N74" s="83">
        <f>IF(J74="Implemented",1,IF(J74="Partially Implemented",Config!$B$13,0))</f>
        <v>1</v>
      </c>
      <c r="O74" s="81">
        <v>46275</v>
      </c>
      <c r="P74" s="80" t="s">
        <v>1209</v>
      </c>
    </row>
    <row r="75" spans="1:16" ht="26.4" x14ac:dyDescent="0.3">
      <c r="A75" s="80" t="s">
        <v>1327</v>
      </c>
      <c r="B75" s="80" t="s">
        <v>1100</v>
      </c>
      <c r="C75" s="80" t="str">
        <f>INDEX(Syn_AI_Inventory!$B$5:$B$34,MATCH(B75,Syn_AI_Inventory!$A$5:$A$34,0))</f>
        <v>Shift Scheduling Optimiser</v>
      </c>
      <c r="D75" s="80" t="str">
        <f>INDEX(Syn_Tiering!$Q$5:$Q$34,MATCH(B75,Syn_Tiering!$A$5:$A$34,0))</f>
        <v>T1 - Critical</v>
      </c>
      <c r="E75" s="80" t="s">
        <v>794</v>
      </c>
      <c r="F75" s="80" t="str">
        <f>INDEX(Framework_Map!$C$5:$C$28,MATCH(E75,Framework_Map!$A$5:$A$28,0))</f>
        <v>Lifecycle risk management system for the AI system</v>
      </c>
      <c r="G75" s="80" t="str">
        <f>INDEX(Framework_Map!$D$5:$D$28,MATCH(E75,Framework_Map!$A$5:$A$28,0))</f>
        <v>Art. 9</v>
      </c>
      <c r="H75" s="80" t="str">
        <f>INDEX(Framework_Map!$E$5:$E$28,MATCH(E75,Framework_Map!$A$5:$A$28,0))</f>
        <v>MAP 5.1, MANAGE 1.2</v>
      </c>
      <c r="I75" s="80" t="str">
        <f>INDEX(Framework_Map!$F$5:$F$28,MATCH(E75,Framework_Map!$A$5:$A$28,0))</f>
        <v>Cl. 6.1.2, 6.1.3, 8.2, 8.3</v>
      </c>
      <c r="J75" s="80" t="s">
        <v>84</v>
      </c>
      <c r="K75" s="80" t="s">
        <v>1328</v>
      </c>
      <c r="L75" s="80" t="s">
        <v>1203</v>
      </c>
      <c r="M75" s="82">
        <v>0.7</v>
      </c>
      <c r="N75" s="83">
        <f>IF(J75="Implemented",1,IF(J75="Partially Implemented",Config!$B$13,0))</f>
        <v>1</v>
      </c>
      <c r="O75" s="81">
        <v>46285</v>
      </c>
      <c r="P75" s="80" t="s">
        <v>1209</v>
      </c>
    </row>
    <row r="76" spans="1:16" ht="26.4" x14ac:dyDescent="0.3">
      <c r="A76" s="80" t="s">
        <v>1329</v>
      </c>
      <c r="B76" s="80" t="s">
        <v>1100</v>
      </c>
      <c r="C76" s="80" t="str">
        <f>INDEX(Syn_AI_Inventory!$B$5:$B$34,MATCH(B76,Syn_AI_Inventory!$A$5:$A$34,0))</f>
        <v>Shift Scheduling Optimiser</v>
      </c>
      <c r="D76" s="80" t="str">
        <f>INDEX(Syn_Tiering!$Q$5:$Q$34,MATCH(B76,Syn_Tiering!$A$5:$A$34,0))</f>
        <v>T1 - Critical</v>
      </c>
      <c r="E76" s="80" t="s">
        <v>802</v>
      </c>
      <c r="F76" s="80" t="str">
        <f>INDEX(Framework_Map!$C$5:$C$28,MATCH(E76,Framework_Map!$A$5:$A$28,0))</f>
        <v>Data quality, provenance, representativeness and bias examination</v>
      </c>
      <c r="G76" s="80" t="str">
        <f>INDEX(Framework_Map!$D$5:$D$28,MATCH(E76,Framework_Map!$A$5:$A$28,0))</f>
        <v>Art. 10</v>
      </c>
      <c r="H76" s="80" t="str">
        <f>INDEX(Framework_Map!$E$5:$E$28,MATCH(E76,Framework_Map!$A$5:$A$28,0))</f>
        <v>MAP 2.3</v>
      </c>
      <c r="I76" s="80" t="str">
        <f>INDEX(Framework_Map!$F$5:$F$28,MATCH(E76,Framework_Map!$A$5:$A$28,0))</f>
        <v>A.7.2, A.7.4, A.7.5</v>
      </c>
      <c r="J76" s="80" t="s">
        <v>86</v>
      </c>
      <c r="K76" s="80" t="s">
        <v>650</v>
      </c>
      <c r="L76" s="80" t="s">
        <v>1203</v>
      </c>
      <c r="M76" s="82">
        <v>0.77</v>
      </c>
      <c r="N76" s="83">
        <f>IF(J76="Implemented",1,IF(J76="Partially Implemented",Config!$B$13,0))</f>
        <v>0</v>
      </c>
      <c r="O76" s="81">
        <v>46272</v>
      </c>
      <c r="P76" s="80" t="s">
        <v>1201</v>
      </c>
    </row>
    <row r="77" spans="1:16" ht="26.4" x14ac:dyDescent="0.3">
      <c r="A77" s="80" t="s">
        <v>1330</v>
      </c>
      <c r="B77" s="80" t="s">
        <v>1100</v>
      </c>
      <c r="C77" s="80" t="str">
        <f>INDEX(Syn_AI_Inventory!$B$5:$B$34,MATCH(B77,Syn_AI_Inventory!$A$5:$A$34,0))</f>
        <v>Shift Scheduling Optimiser</v>
      </c>
      <c r="D77" s="80" t="str">
        <f>INDEX(Syn_Tiering!$Q$5:$Q$34,MATCH(B77,Syn_Tiering!$A$5:$A$34,0))</f>
        <v>T1 - Critical</v>
      </c>
      <c r="E77" s="80" t="s">
        <v>833</v>
      </c>
      <c r="F77" s="80" t="str">
        <f>INDEX(Framework_Map!$C$5:$C$28,MATCH(E77,Framework_Map!$A$5:$A$28,0))</f>
        <v>Effective human oversight measures and competence</v>
      </c>
      <c r="G77" s="80" t="str">
        <f>INDEX(Framework_Map!$D$5:$D$28,MATCH(E77,Framework_Map!$A$5:$A$28,0))</f>
        <v>Art. 14; Art. 26(2)</v>
      </c>
      <c r="H77" s="80" t="str">
        <f>INDEX(Framework_Map!$E$5:$E$28,MATCH(E77,Framework_Map!$A$5:$A$28,0))</f>
        <v>MAP 3.5</v>
      </c>
      <c r="I77" s="80" t="str">
        <f>INDEX(Framework_Map!$F$5:$F$28,MATCH(E77,Framework_Map!$A$5:$A$28,0))</f>
        <v>A.9.2; A.6.1.3</v>
      </c>
      <c r="J77" s="80" t="s">
        <v>86</v>
      </c>
      <c r="K77" s="80" t="s">
        <v>650</v>
      </c>
      <c r="L77" s="80" t="s">
        <v>1203</v>
      </c>
      <c r="M77" s="82">
        <v>0.79</v>
      </c>
      <c r="N77" s="83">
        <f>IF(J77="Implemented",1,IF(J77="Partially Implemented",Config!$B$13,0))</f>
        <v>0</v>
      </c>
      <c r="O77" s="81">
        <v>46270</v>
      </c>
      <c r="P77" s="80" t="s">
        <v>1201</v>
      </c>
    </row>
    <row r="78" spans="1:16" ht="26.4" x14ac:dyDescent="0.3">
      <c r="A78" s="80" t="s">
        <v>1331</v>
      </c>
      <c r="B78" s="80" t="s">
        <v>1100</v>
      </c>
      <c r="C78" s="80" t="str">
        <f>INDEX(Syn_AI_Inventory!$B$5:$B$34,MATCH(B78,Syn_AI_Inventory!$A$5:$A$34,0))</f>
        <v>Shift Scheduling Optimiser</v>
      </c>
      <c r="D78" s="80" t="str">
        <f>INDEX(Syn_Tiering!$Q$5:$Q$34,MATCH(B78,Syn_Tiering!$A$5:$A$34,0))</f>
        <v>T1 - Critical</v>
      </c>
      <c r="E78" s="80" t="s">
        <v>647</v>
      </c>
      <c r="F78" s="80" t="str">
        <f>INDEX(Framework_Map!$C$5:$C$28,MATCH(E78,Framework_Map!$A$5:$A$28,0))</f>
        <v>Bias and fairness testing with subgroup analysis</v>
      </c>
      <c r="G78" s="80" t="str">
        <f>INDEX(Framework_Map!$D$5:$D$28,MATCH(E78,Framework_Map!$A$5:$A$28,0))</f>
        <v>Art. 10(2)</v>
      </c>
      <c r="H78" s="80" t="str">
        <f>INDEX(Framework_Map!$E$5:$E$28,MATCH(E78,Framework_Map!$A$5:$A$28,0))</f>
        <v>MEASURE 2.11</v>
      </c>
      <c r="I78" s="80" t="str">
        <f>INDEX(Framework_Map!$F$5:$F$28,MATCH(E78,Framework_Map!$A$5:$A$28,0))</f>
        <v>A.5.4; A.6.2.4</v>
      </c>
      <c r="J78" s="80" t="s">
        <v>86</v>
      </c>
      <c r="K78" s="80" t="s">
        <v>650</v>
      </c>
      <c r="L78" s="80" t="s">
        <v>1203</v>
      </c>
      <c r="M78" s="82">
        <v>0.92</v>
      </c>
      <c r="N78" s="83">
        <f>IF(J78="Implemented",1,IF(J78="Partially Implemented",Config!$B$13,0))</f>
        <v>0</v>
      </c>
      <c r="O78" s="81">
        <v>46290</v>
      </c>
      <c r="P78" s="80" t="s">
        <v>1201</v>
      </c>
    </row>
    <row r="79" spans="1:16" ht="26.4" x14ac:dyDescent="0.3">
      <c r="A79" s="80" t="s">
        <v>1332</v>
      </c>
      <c r="B79" s="80" t="s">
        <v>1100</v>
      </c>
      <c r="C79" s="80" t="str">
        <f>INDEX(Syn_AI_Inventory!$B$5:$B$34,MATCH(B79,Syn_AI_Inventory!$A$5:$A$34,0))</f>
        <v>Shift Scheduling Optimiser</v>
      </c>
      <c r="D79" s="80" t="str">
        <f>INDEX(Syn_Tiering!$Q$5:$Q$34,MATCH(B79,Syn_Tiering!$A$5:$A$34,0))</f>
        <v>T1 - Critical</v>
      </c>
      <c r="E79" s="80" t="s">
        <v>653</v>
      </c>
      <c r="F79" s="80" t="str">
        <f>INDEX(Framework_Map!$C$5:$C$28,MATCH(E79,Framework_Map!$A$5:$A$28,0))</f>
        <v>Quality management system covering AI lifecycle</v>
      </c>
      <c r="G79" s="80" t="str">
        <f>INDEX(Framework_Map!$D$5:$D$28,MATCH(E79,Framework_Map!$A$5:$A$28,0))</f>
        <v>Art. 17</v>
      </c>
      <c r="H79" s="80" t="str">
        <f>INDEX(Framework_Map!$E$5:$E$28,MATCH(E79,Framework_Map!$A$5:$A$28,0))</f>
        <v>GOVERN 1.4</v>
      </c>
      <c r="I79" s="80" t="str">
        <f>INDEX(Framework_Map!$F$5:$F$28,MATCH(E79,Framework_Map!$A$5:$A$28,0))</f>
        <v>Cl. 4.4, 7.5, 8.1</v>
      </c>
      <c r="J79" s="80" t="s">
        <v>85</v>
      </c>
      <c r="K79" s="80" t="s">
        <v>1333</v>
      </c>
      <c r="L79" s="80" t="s">
        <v>1203</v>
      </c>
      <c r="M79" s="82">
        <v>0.89</v>
      </c>
      <c r="N79" s="83">
        <f>IF(J79="Implemented",1,IF(J79="Partially Implemented",Config!$B$13,0))</f>
        <v>0.5</v>
      </c>
      <c r="O79" s="81">
        <v>46280</v>
      </c>
      <c r="P79" s="80" t="s">
        <v>1212</v>
      </c>
    </row>
    <row r="80" spans="1:16" ht="26.4" x14ac:dyDescent="0.3">
      <c r="A80" s="80" t="s">
        <v>1334</v>
      </c>
      <c r="B80" s="80" t="s">
        <v>1100</v>
      </c>
      <c r="C80" s="80" t="str">
        <f>INDEX(Syn_AI_Inventory!$B$5:$B$34,MATCH(B80,Syn_AI_Inventory!$A$5:$A$34,0))</f>
        <v>Shift Scheduling Optimiser</v>
      </c>
      <c r="D80" s="80" t="str">
        <f>INDEX(Syn_Tiering!$Q$5:$Q$34,MATCH(B80,Syn_Tiering!$A$5:$A$34,0))</f>
        <v>T1 - Critical</v>
      </c>
      <c r="E80" s="80" t="s">
        <v>867</v>
      </c>
      <c r="F80" s="80" t="str">
        <f>INDEX(Framework_Map!$C$5:$C$28,MATCH(E80,Framework_Map!$A$5:$A$28,0))</f>
        <v>Conformity assessment, declaration of conformity, CE marking</v>
      </c>
      <c r="G80" s="80" t="str">
        <f>INDEX(Framework_Map!$D$5:$D$28,MATCH(E80,Framework_Map!$A$5:$A$28,0))</f>
        <v>Art. 43, 47, 48</v>
      </c>
      <c r="H80" s="80" t="str">
        <f>INDEX(Framework_Map!$E$5:$E$28,MATCH(E80,Framework_Map!$A$5:$A$28,0))</f>
        <v>GOVERN 1.1</v>
      </c>
      <c r="I80" s="80" t="str">
        <f>INDEX(Framework_Map!$F$5:$F$28,MATCH(E80,Framework_Map!$A$5:$A$28,0))</f>
        <v>Cl. 9.2 (closest)</v>
      </c>
      <c r="J80" s="80" t="s">
        <v>84</v>
      </c>
      <c r="K80" s="80" t="s">
        <v>1335</v>
      </c>
      <c r="L80" s="80" t="s">
        <v>1203</v>
      </c>
      <c r="M80" s="82">
        <v>0.93</v>
      </c>
      <c r="N80" s="83">
        <f>IF(J80="Implemented",1,IF(J80="Partially Implemented",Config!$B$13,0))</f>
        <v>1</v>
      </c>
      <c r="O80" s="81">
        <v>46280</v>
      </c>
      <c r="P80" s="80" t="s">
        <v>1209</v>
      </c>
    </row>
    <row r="81" spans="1:16" x14ac:dyDescent="0.3">
      <c r="A81" s="80" t="s">
        <v>1336</v>
      </c>
      <c r="B81" s="80" t="s">
        <v>1100</v>
      </c>
      <c r="C81" s="80" t="str">
        <f>INDEX(Syn_AI_Inventory!$B$5:$B$34,MATCH(B81,Syn_AI_Inventory!$A$5:$A$34,0))</f>
        <v>Shift Scheduling Optimiser</v>
      </c>
      <c r="D81" s="80" t="str">
        <f>INDEX(Syn_Tiering!$Q$5:$Q$34,MATCH(B81,Syn_Tiering!$A$5:$A$34,0))</f>
        <v>T1 - Critical</v>
      </c>
      <c r="E81" s="80" t="s">
        <v>881</v>
      </c>
      <c r="F81" s="80" t="str">
        <f>INDEX(Framework_Map!$C$5:$C$28,MATCH(E81,Framework_Map!$A$5:$A$28,0))</f>
        <v>Post-market / post-deployment monitoring plan</v>
      </c>
      <c r="G81" s="80" t="str">
        <f>INDEX(Framework_Map!$D$5:$D$28,MATCH(E81,Framework_Map!$A$5:$A$28,0))</f>
        <v>Art. 72</v>
      </c>
      <c r="H81" s="80" t="str">
        <f>INDEX(Framework_Map!$E$5:$E$28,MATCH(E81,Framework_Map!$A$5:$A$28,0))</f>
        <v>MANAGE 4.1</v>
      </c>
      <c r="I81" s="80" t="str">
        <f>INDEX(Framework_Map!$F$5:$F$28,MATCH(E81,Framework_Map!$A$5:$A$28,0))</f>
        <v>Cl. 9.1; A.6.2.6</v>
      </c>
      <c r="J81" s="80" t="s">
        <v>84</v>
      </c>
      <c r="K81" s="80" t="s">
        <v>1337</v>
      </c>
      <c r="L81" s="80" t="s">
        <v>1203</v>
      </c>
      <c r="M81" s="82">
        <v>0.85</v>
      </c>
      <c r="N81" s="83">
        <f>IF(J81="Implemented",1,IF(J81="Partially Implemented",Config!$B$13,0))</f>
        <v>1</v>
      </c>
      <c r="O81" s="81">
        <v>46285</v>
      </c>
      <c r="P81" s="80" t="s">
        <v>1209</v>
      </c>
    </row>
    <row r="82" spans="1:16" ht="26.4" x14ac:dyDescent="0.3">
      <c r="A82" s="80" t="s">
        <v>1338</v>
      </c>
      <c r="B82" s="80" t="s">
        <v>1100</v>
      </c>
      <c r="C82" s="80" t="str">
        <f>INDEX(Syn_AI_Inventory!$B$5:$B$34,MATCH(B82,Syn_AI_Inventory!$A$5:$A$34,0))</f>
        <v>Shift Scheduling Optimiser</v>
      </c>
      <c r="D82" s="80" t="str">
        <f>INDEX(Syn_Tiering!$Q$5:$Q$34,MATCH(B82,Syn_Tiering!$A$5:$A$34,0))</f>
        <v>T1 - Critical</v>
      </c>
      <c r="E82" s="80" t="s">
        <v>901</v>
      </c>
      <c r="F82" s="80" t="str">
        <f>INDEX(Framework_Map!$C$5:$C$28,MATCH(E82,Framework_Map!$A$5:$A$28,0))</f>
        <v>Supply-chain AI risk: supplier documentation, contracts, responsibilities</v>
      </c>
      <c r="G82" s="80" t="str">
        <f>INDEX(Framework_Map!$D$5:$D$28,MATCH(E82,Framework_Map!$A$5:$A$28,0))</f>
        <v>Art. 25</v>
      </c>
      <c r="H82" s="80" t="str">
        <f>INDEX(Framework_Map!$E$5:$E$28,MATCH(E82,Framework_Map!$A$5:$A$28,0))</f>
        <v>GOVERN 6.1, MAP 4.1</v>
      </c>
      <c r="I82" s="80" t="str">
        <f>INDEX(Framework_Map!$F$5:$F$28,MATCH(E82,Framework_Map!$A$5:$A$28,0))</f>
        <v>A.10.2, A.10.3</v>
      </c>
      <c r="J82" s="80" t="s">
        <v>85</v>
      </c>
      <c r="K82" s="80" t="s">
        <v>1339</v>
      </c>
      <c r="L82" s="80" t="s">
        <v>1203</v>
      </c>
      <c r="M82" s="82">
        <v>0.83</v>
      </c>
      <c r="N82" s="83">
        <f>IF(J82="Implemented",1,IF(J82="Partially Implemented",Config!$B$13,0))</f>
        <v>0.5</v>
      </c>
      <c r="O82" s="81">
        <v>46279</v>
      </c>
      <c r="P82" s="80" t="s">
        <v>1212</v>
      </c>
    </row>
    <row r="83" spans="1:16" ht="26.4" x14ac:dyDescent="0.3">
      <c r="A83" s="80" t="s">
        <v>1340</v>
      </c>
      <c r="B83" s="80" t="s">
        <v>1104</v>
      </c>
      <c r="C83" s="80" t="str">
        <f>INDEX(Syn_AI_Inventory!$B$5:$B$34,MATCH(B83,Syn_AI_Inventory!$A$5:$A$34,0))</f>
        <v>Facility Energy Optimiser</v>
      </c>
      <c r="D83" s="80" t="str">
        <f>INDEX(Syn_Tiering!$Q$5:$Q$34,MATCH(B83,Syn_Tiering!$A$5:$A$34,0))</f>
        <v>T3 - Standard</v>
      </c>
      <c r="E83" s="80" t="s">
        <v>777</v>
      </c>
      <c r="F83" s="80" t="str">
        <f>INDEX(Framework_Map!$C$5:$C$28,MATCH(E83,Framework_Map!$A$5:$A$28,0))</f>
        <v>Maintain AI system inventory with documented risk classification</v>
      </c>
      <c r="G83" s="80" t="str">
        <f>INDEX(Framework_Map!$D$5:$D$28,MATCH(E83,Framework_Map!$A$5:$A$28,0))</f>
        <v>Art. 6, Annex III; Art. 49 (registration)</v>
      </c>
      <c r="H83" s="80" t="str">
        <f>INDEX(Framework_Map!$E$5:$E$28,MATCH(E83,Framework_Map!$A$5:$A$28,0))</f>
        <v>GOVERN 1.6</v>
      </c>
      <c r="I83" s="80" t="str">
        <f>INDEX(Framework_Map!$F$5:$F$28,MATCH(E83,Framework_Map!$A$5:$A$28,0))</f>
        <v>Cl. 4.3; A.4.2</v>
      </c>
      <c r="J83" s="80" t="s">
        <v>86</v>
      </c>
      <c r="K83" s="80" t="s">
        <v>650</v>
      </c>
      <c r="L83" s="80" t="s">
        <v>1200</v>
      </c>
      <c r="M83" s="82">
        <v>0.77</v>
      </c>
      <c r="N83" s="83">
        <f>IF(J83="Implemented",1,IF(J83="Partially Implemented",Config!$B$13,0))</f>
        <v>0</v>
      </c>
      <c r="O83" s="81">
        <v>46289</v>
      </c>
      <c r="P83" s="80" t="s">
        <v>1201</v>
      </c>
    </row>
    <row r="84" spans="1:16" ht="26.4" x14ac:dyDescent="0.3">
      <c r="A84" s="80" t="s">
        <v>1341</v>
      </c>
      <c r="B84" s="80" t="s">
        <v>1104</v>
      </c>
      <c r="C84" s="80" t="str">
        <f>INDEX(Syn_AI_Inventory!$B$5:$B$34,MATCH(B84,Syn_AI_Inventory!$A$5:$A$34,0))</f>
        <v>Facility Energy Optimiser</v>
      </c>
      <c r="D84" s="80" t="str">
        <f>INDEX(Syn_Tiering!$Q$5:$Q$34,MATCH(B84,Syn_Tiering!$A$5:$A$34,0))</f>
        <v>T3 - Standard</v>
      </c>
      <c r="E84" s="80" t="s">
        <v>909</v>
      </c>
      <c r="F84" s="80" t="str">
        <f>INDEX(Framework_Map!$C$5:$C$28,MATCH(E84,Framework_Map!$A$5:$A$28,0))</f>
        <v>AI literacy / role-based training</v>
      </c>
      <c r="G84" s="80" t="str">
        <f>INDEX(Framework_Map!$D$5:$D$28,MATCH(E84,Framework_Map!$A$5:$A$28,0))</f>
        <v>Art. 4 (verify wording post-Omnibus)</v>
      </c>
      <c r="H84" s="80" t="str">
        <f>INDEX(Framework_Map!$E$5:$E$28,MATCH(E84,Framework_Map!$A$5:$A$28,0))</f>
        <v>GOVERN 2.2</v>
      </c>
      <c r="I84" s="80" t="str">
        <f>INDEX(Framework_Map!$F$5:$F$28,MATCH(E84,Framework_Map!$A$5:$A$28,0))</f>
        <v>Cl. 7.2, 7.3; A.4.6</v>
      </c>
      <c r="J84" s="80" t="s">
        <v>86</v>
      </c>
      <c r="K84" s="80" t="s">
        <v>650</v>
      </c>
      <c r="L84" s="80" t="s">
        <v>1203</v>
      </c>
      <c r="M84" s="82">
        <v>0.71</v>
      </c>
      <c r="N84" s="83">
        <f>IF(J84="Implemented",1,IF(J84="Partially Implemented",Config!$B$13,0))</f>
        <v>0</v>
      </c>
      <c r="O84" s="81">
        <v>46286</v>
      </c>
      <c r="P84" s="80" t="s">
        <v>1201</v>
      </c>
    </row>
    <row r="85" spans="1:16" ht="26.4" x14ac:dyDescent="0.3">
      <c r="A85" s="80" t="s">
        <v>1342</v>
      </c>
      <c r="B85" s="80" t="s">
        <v>1108</v>
      </c>
      <c r="C85" s="80" t="str">
        <f>INDEX(Syn_AI_Inventory!$B$5:$B$34,MATCH(B85,Syn_AI_Inventory!$A$5:$A$34,0))</f>
        <v>Graduate Programme Admissions Ranker</v>
      </c>
      <c r="D85" s="80" t="str">
        <f>INDEX(Syn_Tiering!$Q$5:$Q$34,MATCH(B85,Syn_Tiering!$A$5:$A$34,0))</f>
        <v>T1 - Critical</v>
      </c>
      <c r="E85" s="80" t="s">
        <v>787</v>
      </c>
      <c r="F85" s="80" t="str">
        <f>INDEX(Framework_Map!$C$5:$C$28,MATCH(E85,Framework_Map!$A$5:$A$28,0))</f>
        <v>Defined AI policy, roles and accountability</v>
      </c>
      <c r="G85" s="80" t="str">
        <f>INDEX(Framework_Map!$D$5:$D$28,MATCH(E85,Framework_Map!$A$5:$A$28,0))</f>
        <v>Art. 17 (QMS); Art. 26</v>
      </c>
      <c r="H85" s="80" t="str">
        <f>INDEX(Framework_Map!$E$5:$E$28,MATCH(E85,Framework_Map!$A$5:$A$28,0))</f>
        <v>GOVERN 1.2, GOVERN 2.1</v>
      </c>
      <c r="I85" s="80" t="str">
        <f>INDEX(Framework_Map!$F$5:$F$28,MATCH(E85,Framework_Map!$A$5:$A$28,0))</f>
        <v>Cl. 5.2, 5.3; A.2.2; A.3.2</v>
      </c>
      <c r="J85" s="80" t="s">
        <v>84</v>
      </c>
      <c r="K85" s="80" t="s">
        <v>1343</v>
      </c>
      <c r="L85" s="80" t="s">
        <v>1203</v>
      </c>
      <c r="M85" s="82">
        <v>0.73</v>
      </c>
      <c r="N85" s="83">
        <f>IF(J85="Implemented",1,IF(J85="Partially Implemented",Config!$B$13,0))</f>
        <v>1</v>
      </c>
      <c r="O85" s="81">
        <v>46268</v>
      </c>
      <c r="P85" s="80" t="s">
        <v>1209</v>
      </c>
    </row>
    <row r="86" spans="1:16" ht="26.4" x14ac:dyDescent="0.3">
      <c r="A86" s="80" t="s">
        <v>1344</v>
      </c>
      <c r="B86" s="80" t="s">
        <v>1108</v>
      </c>
      <c r="C86" s="80" t="str">
        <f>INDEX(Syn_AI_Inventory!$B$5:$B$34,MATCH(B86,Syn_AI_Inventory!$A$5:$A$34,0))</f>
        <v>Graduate Programme Admissions Ranker</v>
      </c>
      <c r="D86" s="80" t="str">
        <f>INDEX(Syn_Tiering!$Q$5:$Q$34,MATCH(B86,Syn_Tiering!$A$5:$A$34,0))</f>
        <v>T1 - Critical</v>
      </c>
      <c r="E86" s="80" t="s">
        <v>833</v>
      </c>
      <c r="F86" s="80" t="str">
        <f>INDEX(Framework_Map!$C$5:$C$28,MATCH(E86,Framework_Map!$A$5:$A$28,0))</f>
        <v>Effective human oversight measures and competence</v>
      </c>
      <c r="G86" s="80" t="str">
        <f>INDEX(Framework_Map!$D$5:$D$28,MATCH(E86,Framework_Map!$A$5:$A$28,0))</f>
        <v>Art. 14; Art. 26(2)</v>
      </c>
      <c r="H86" s="80" t="str">
        <f>INDEX(Framework_Map!$E$5:$E$28,MATCH(E86,Framework_Map!$A$5:$A$28,0))</f>
        <v>MAP 3.5</v>
      </c>
      <c r="I86" s="80" t="str">
        <f>INDEX(Framework_Map!$F$5:$F$28,MATCH(E86,Framework_Map!$A$5:$A$28,0))</f>
        <v>A.9.2; A.6.1.3</v>
      </c>
      <c r="J86" s="80" t="s">
        <v>84</v>
      </c>
      <c r="K86" s="80" t="s">
        <v>1345</v>
      </c>
      <c r="L86" s="80" t="s">
        <v>1203</v>
      </c>
      <c r="M86" s="82">
        <v>0.75</v>
      </c>
      <c r="N86" s="83">
        <f>IF(J86="Implemented",1,IF(J86="Partially Implemented",Config!$B$13,0))</f>
        <v>1</v>
      </c>
      <c r="O86" s="81">
        <v>46288</v>
      </c>
      <c r="P86" s="80" t="s">
        <v>1209</v>
      </c>
    </row>
    <row r="87" spans="1:16" ht="26.4" x14ac:dyDescent="0.3">
      <c r="A87" s="80" t="s">
        <v>1346</v>
      </c>
      <c r="B87" s="80" t="s">
        <v>1108</v>
      </c>
      <c r="C87" s="80" t="str">
        <f>INDEX(Syn_AI_Inventory!$B$5:$B$34,MATCH(B87,Syn_AI_Inventory!$A$5:$A$34,0))</f>
        <v>Graduate Programme Admissions Ranker</v>
      </c>
      <c r="D87" s="80" t="str">
        <f>INDEX(Syn_Tiering!$Q$5:$Q$34,MATCH(B87,Syn_Tiering!$A$5:$A$34,0))</f>
        <v>T1 - Critical</v>
      </c>
      <c r="E87" s="80" t="s">
        <v>840</v>
      </c>
      <c r="F87" s="80" t="str">
        <f>INDEX(Framework_Map!$C$5:$C$28,MATCH(E87,Framework_Map!$A$5:$A$28,0))</f>
        <v>Accuracy, robustness and cybersecurity</v>
      </c>
      <c r="G87" s="80" t="str">
        <f>INDEX(Framework_Map!$D$5:$D$28,MATCH(E87,Framework_Map!$A$5:$A$28,0))</f>
        <v>Art. 15</v>
      </c>
      <c r="H87" s="80" t="str">
        <f>INDEX(Framework_Map!$E$5:$E$28,MATCH(E87,Framework_Map!$A$5:$A$28,0))</f>
        <v>MEASURE 2.5, MEASURE 2.7</v>
      </c>
      <c r="I87" s="80" t="str">
        <f>INDEX(Framework_Map!$F$5:$F$28,MATCH(E87,Framework_Map!$A$5:$A$28,0))</f>
        <v>A.6.2.4</v>
      </c>
      <c r="J87" s="80" t="s">
        <v>84</v>
      </c>
      <c r="K87" s="80" t="s">
        <v>1347</v>
      </c>
      <c r="L87" s="80" t="s">
        <v>1203</v>
      </c>
      <c r="M87" s="82">
        <v>0.76</v>
      </c>
      <c r="N87" s="83">
        <f>IF(J87="Implemented",1,IF(J87="Partially Implemented",Config!$B$13,0))</f>
        <v>1</v>
      </c>
      <c r="O87" s="81">
        <v>46280</v>
      </c>
      <c r="P87" s="80" t="s">
        <v>1209</v>
      </c>
    </row>
    <row r="88" spans="1:16" ht="26.4" x14ac:dyDescent="0.3">
      <c r="A88" s="80" t="s">
        <v>1348</v>
      </c>
      <c r="B88" s="80" t="s">
        <v>1108</v>
      </c>
      <c r="C88" s="80" t="str">
        <f>INDEX(Syn_AI_Inventory!$B$5:$B$34,MATCH(B88,Syn_AI_Inventory!$A$5:$A$34,0))</f>
        <v>Graduate Programme Admissions Ranker</v>
      </c>
      <c r="D88" s="80" t="str">
        <f>INDEX(Syn_Tiering!$Q$5:$Q$34,MATCH(B88,Syn_Tiering!$A$5:$A$34,0))</f>
        <v>T1 - Critical</v>
      </c>
      <c r="E88" s="80" t="s">
        <v>660</v>
      </c>
      <c r="F88" s="80" t="str">
        <f>INDEX(Framework_Map!$C$5:$C$28,MATCH(E88,Framework_Map!$A$5:$A$28,0))</f>
        <v>Fundamental rights / AI system impact assessment</v>
      </c>
      <c r="G88" s="80" t="str">
        <f>INDEX(Framework_Map!$D$5:$D$28,MATCH(E88,Framework_Map!$A$5:$A$28,0))</f>
        <v>Art. 27</v>
      </c>
      <c r="H88" s="80" t="str">
        <f>INDEX(Framework_Map!$E$5:$E$28,MATCH(E88,Framework_Map!$A$5:$A$28,0))</f>
        <v>MAP 1.1, MAP 5.1</v>
      </c>
      <c r="I88" s="80" t="str">
        <f>INDEX(Framework_Map!$F$5:$F$28,MATCH(E88,Framework_Map!$A$5:$A$28,0))</f>
        <v>Cl. 6.1.4, 8.4; A.5.2–A.5.4</v>
      </c>
      <c r="J88" s="80" t="s">
        <v>85</v>
      </c>
      <c r="K88" s="80" t="s">
        <v>1349</v>
      </c>
      <c r="L88" s="80" t="s">
        <v>1203</v>
      </c>
      <c r="M88" s="82">
        <v>0.9</v>
      </c>
      <c r="N88" s="83">
        <f>IF(J88="Implemented",1,IF(J88="Partially Implemented",Config!$B$13,0))</f>
        <v>0.5</v>
      </c>
      <c r="O88" s="81">
        <v>46290</v>
      </c>
      <c r="P88" s="80" t="s">
        <v>1263</v>
      </c>
    </row>
    <row r="89" spans="1:16" ht="26.4" x14ac:dyDescent="0.3">
      <c r="A89" s="80" t="s">
        <v>1350</v>
      </c>
      <c r="B89" s="80" t="s">
        <v>1108</v>
      </c>
      <c r="C89" s="80" t="str">
        <f>INDEX(Syn_AI_Inventory!$B$5:$B$34,MATCH(B89,Syn_AI_Inventory!$A$5:$A$34,0))</f>
        <v>Graduate Programme Admissions Ranker</v>
      </c>
      <c r="D89" s="80" t="str">
        <f>INDEX(Syn_Tiering!$Q$5:$Q$34,MATCH(B89,Syn_Tiering!$A$5:$A$34,0))</f>
        <v>T1 - Critical</v>
      </c>
      <c r="E89" s="80" t="s">
        <v>887</v>
      </c>
      <c r="F89" s="80" t="str">
        <f>INDEX(Framework_Map!$C$5:$C$28,MATCH(E89,Framework_Map!$A$5:$A$28,0))</f>
        <v>Serious incident reporting procedure</v>
      </c>
      <c r="G89" s="80" t="str">
        <f>INDEX(Framework_Map!$D$5:$D$28,MATCH(E89,Framework_Map!$A$5:$A$28,0))</f>
        <v>Art. 73</v>
      </c>
      <c r="H89" s="80" t="str">
        <f>INDEX(Framework_Map!$E$5:$E$28,MATCH(E89,Framework_Map!$A$5:$A$28,0))</f>
        <v>MANAGE 4.3</v>
      </c>
      <c r="I89" s="80" t="str">
        <f>INDEX(Framework_Map!$F$5:$F$28,MATCH(E89,Framework_Map!$A$5:$A$28,0))</f>
        <v>A.8.4; Cl. 10.2</v>
      </c>
      <c r="J89" s="80" t="s">
        <v>85</v>
      </c>
      <c r="K89" s="80" t="s">
        <v>1351</v>
      </c>
      <c r="L89" s="80" t="s">
        <v>1200</v>
      </c>
      <c r="M89" s="82">
        <v>0.63</v>
      </c>
      <c r="N89" s="83">
        <f>IF(J89="Implemented",1,IF(J89="Partially Implemented",Config!$B$13,0))</f>
        <v>0.5</v>
      </c>
      <c r="O89" s="81">
        <v>46278</v>
      </c>
      <c r="P89" s="80" t="s">
        <v>1212</v>
      </c>
    </row>
    <row r="90" spans="1:16" ht="26.4" x14ac:dyDescent="0.3">
      <c r="A90" s="80" t="s">
        <v>1352</v>
      </c>
      <c r="B90" s="80" t="s">
        <v>1108</v>
      </c>
      <c r="C90" s="80" t="str">
        <f>INDEX(Syn_AI_Inventory!$B$5:$B$34,MATCH(B90,Syn_AI_Inventory!$A$5:$A$34,0))</f>
        <v>Graduate Programme Admissions Ranker</v>
      </c>
      <c r="D90" s="80" t="str">
        <f>INDEX(Syn_Tiering!$Q$5:$Q$34,MATCH(B90,Syn_Tiering!$A$5:$A$34,0))</f>
        <v>T1 - Critical</v>
      </c>
      <c r="E90" s="80" t="s">
        <v>901</v>
      </c>
      <c r="F90" s="80" t="str">
        <f>INDEX(Framework_Map!$C$5:$C$28,MATCH(E90,Framework_Map!$A$5:$A$28,0))</f>
        <v>Supply-chain AI risk: supplier documentation, contracts, responsibilities</v>
      </c>
      <c r="G90" s="80" t="str">
        <f>INDEX(Framework_Map!$D$5:$D$28,MATCH(E90,Framework_Map!$A$5:$A$28,0))</f>
        <v>Art. 25</v>
      </c>
      <c r="H90" s="80" t="str">
        <f>INDEX(Framework_Map!$E$5:$E$28,MATCH(E90,Framework_Map!$A$5:$A$28,0))</f>
        <v>GOVERN 6.1, MAP 4.1</v>
      </c>
      <c r="I90" s="80" t="str">
        <f>INDEX(Framework_Map!$F$5:$F$28,MATCH(E90,Framework_Map!$A$5:$A$28,0))</f>
        <v>A.10.2, A.10.3</v>
      </c>
      <c r="J90" s="80" t="s">
        <v>85</v>
      </c>
      <c r="K90" s="80" t="s">
        <v>1353</v>
      </c>
      <c r="L90" s="80" t="s">
        <v>1203</v>
      </c>
      <c r="M90" s="82">
        <v>0.72</v>
      </c>
      <c r="N90" s="83">
        <f>IF(J90="Implemented",1,IF(J90="Partially Implemented",Config!$B$13,0))</f>
        <v>0.5</v>
      </c>
      <c r="O90" s="81">
        <v>46279</v>
      </c>
      <c r="P90" s="80" t="s">
        <v>1263</v>
      </c>
    </row>
    <row r="91" spans="1:16" ht="26.4" x14ac:dyDescent="0.3">
      <c r="A91" s="80" t="s">
        <v>1354</v>
      </c>
      <c r="B91" s="80" t="s">
        <v>1108</v>
      </c>
      <c r="C91" s="80" t="str">
        <f>INDEX(Syn_AI_Inventory!$B$5:$B$34,MATCH(B91,Syn_AI_Inventory!$A$5:$A$34,0))</f>
        <v>Graduate Programme Admissions Ranker</v>
      </c>
      <c r="D91" s="80" t="str">
        <f>INDEX(Syn_Tiering!$Q$5:$Q$34,MATCH(B91,Syn_Tiering!$A$5:$A$34,0))</f>
        <v>T1 - Critical</v>
      </c>
      <c r="E91" s="80" t="s">
        <v>916</v>
      </c>
      <c r="F91" s="80" t="str">
        <f>INDEX(Framework_Map!$C$5:$C$28,MATCH(E91,Framework_Map!$A$5:$A$28,0))</f>
        <v>Use per instructions, monitor operation, retain logs, inform workers</v>
      </c>
      <c r="G91" s="80" t="str">
        <f>INDEX(Framework_Map!$D$5:$D$28,MATCH(E91,Framework_Map!$A$5:$A$28,0))</f>
        <v>Art. 26</v>
      </c>
      <c r="H91" s="80" t="str">
        <f>INDEX(Framework_Map!$E$5:$E$28,MATCH(E91,Framework_Map!$A$5:$A$28,0))</f>
        <v>MANAGE 4.1</v>
      </c>
      <c r="I91" s="80" t="str">
        <f>INDEX(Framework_Map!$F$5:$F$28,MATCH(E91,Framework_Map!$A$5:$A$28,0))</f>
        <v>A.9.2; A.9.4</v>
      </c>
      <c r="J91" s="80" t="s">
        <v>85</v>
      </c>
      <c r="K91" s="80" t="s">
        <v>1355</v>
      </c>
      <c r="L91" s="80" t="s">
        <v>1200</v>
      </c>
      <c r="M91" s="82">
        <v>0.81</v>
      </c>
      <c r="N91" s="83">
        <f>IF(J91="Implemented",1,IF(J91="Partially Implemented",Config!$B$13,0))</f>
        <v>0.5</v>
      </c>
      <c r="O91" s="81">
        <v>46273</v>
      </c>
      <c r="P91" s="80" t="s">
        <v>1212</v>
      </c>
    </row>
    <row r="92" spans="1:16" ht="26.4" x14ac:dyDescent="0.3">
      <c r="A92" s="80" t="s">
        <v>1356</v>
      </c>
      <c r="B92" s="80" t="s">
        <v>1108</v>
      </c>
      <c r="C92" s="80" t="str">
        <f>INDEX(Syn_AI_Inventory!$B$5:$B$34,MATCH(B92,Syn_AI_Inventory!$A$5:$A$34,0))</f>
        <v>Graduate Programme Admissions Ranker</v>
      </c>
      <c r="D92" s="80" t="str">
        <f>INDEX(Syn_Tiering!$Q$5:$Q$34,MATCH(B92,Syn_Tiering!$A$5:$A$34,0))</f>
        <v>T1 - Critical</v>
      </c>
      <c r="E92" s="80" t="s">
        <v>944</v>
      </c>
      <c r="F92" s="80" t="str">
        <f>INDEX(Framework_Map!$C$5:$C$28,MATCH(E92,Framework_Map!$A$5:$A$28,0))</f>
        <v>Corrective action and lessons-learned loop</v>
      </c>
      <c r="G92" s="80" t="str">
        <f>INDEX(Framework_Map!$D$5:$D$28,MATCH(E92,Framework_Map!$A$5:$A$28,0))</f>
        <v>—</v>
      </c>
      <c r="H92" s="80" t="str">
        <f>INDEX(Framework_Map!$E$5:$E$28,MATCH(E92,Framework_Map!$A$5:$A$28,0))</f>
        <v>MANAGE 4.2</v>
      </c>
      <c r="I92" s="80" t="str">
        <f>INDEX(Framework_Map!$F$5:$F$28,MATCH(E92,Framework_Map!$A$5:$A$28,0))</f>
        <v>Cl. 10.1, 10.2</v>
      </c>
      <c r="J92" s="80" t="s">
        <v>85</v>
      </c>
      <c r="K92" s="80" t="s">
        <v>1357</v>
      </c>
      <c r="L92" s="80" t="s">
        <v>1203</v>
      </c>
      <c r="M92" s="82">
        <v>0.77</v>
      </c>
      <c r="N92" s="83">
        <f>IF(J92="Implemented",1,IF(J92="Partially Implemented",Config!$B$13,0))</f>
        <v>0.5</v>
      </c>
      <c r="O92" s="81">
        <v>46278</v>
      </c>
      <c r="P92" s="80" t="s">
        <v>1269</v>
      </c>
    </row>
    <row r="93" spans="1:16" ht="26.4" x14ac:dyDescent="0.3">
      <c r="A93" s="80" t="s">
        <v>1358</v>
      </c>
      <c r="B93" s="80" t="s">
        <v>1112</v>
      </c>
      <c r="C93" s="80" t="str">
        <f>INDEX(Syn_AI_Inventory!$B$5:$B$34,MATCH(B93,Syn_AI_Inventory!$A$5:$A$34,0))</f>
        <v>Synthetic Training Video Generator</v>
      </c>
      <c r="D93" s="80" t="str">
        <f>INDEX(Syn_Tiering!$Q$5:$Q$34,MATCH(B93,Syn_Tiering!$A$5:$A$34,0))</f>
        <v>T2 - Elevated</v>
      </c>
      <c r="E93" s="80" t="s">
        <v>787</v>
      </c>
      <c r="F93" s="80" t="str">
        <f>INDEX(Framework_Map!$C$5:$C$28,MATCH(E93,Framework_Map!$A$5:$A$28,0))</f>
        <v>Defined AI policy, roles and accountability</v>
      </c>
      <c r="G93" s="80" t="str">
        <f>INDEX(Framework_Map!$D$5:$D$28,MATCH(E93,Framework_Map!$A$5:$A$28,0))</f>
        <v>Art. 17 (QMS); Art. 26</v>
      </c>
      <c r="H93" s="80" t="str">
        <f>INDEX(Framework_Map!$E$5:$E$28,MATCH(E93,Framework_Map!$A$5:$A$28,0))</f>
        <v>GOVERN 1.2, GOVERN 2.1</v>
      </c>
      <c r="I93" s="80" t="str">
        <f>INDEX(Framework_Map!$F$5:$F$28,MATCH(E93,Framework_Map!$A$5:$A$28,0))</f>
        <v>Cl. 5.2, 5.3; A.2.2; A.3.2</v>
      </c>
      <c r="J93" s="80" t="s">
        <v>86</v>
      </c>
      <c r="K93" s="80" t="s">
        <v>650</v>
      </c>
      <c r="L93" s="80" t="s">
        <v>1200</v>
      </c>
      <c r="M93" s="82">
        <v>0.8</v>
      </c>
      <c r="N93" s="83">
        <f>IF(J93="Implemented",1,IF(J93="Partially Implemented",Config!$B$13,0))</f>
        <v>0</v>
      </c>
      <c r="O93" s="81">
        <v>46284</v>
      </c>
      <c r="P93" s="80" t="s">
        <v>1201</v>
      </c>
    </row>
    <row r="94" spans="1:16" ht="26.4" x14ac:dyDescent="0.3">
      <c r="A94" s="80" t="s">
        <v>1359</v>
      </c>
      <c r="B94" s="80" t="s">
        <v>1112</v>
      </c>
      <c r="C94" s="80" t="str">
        <f>INDEX(Syn_AI_Inventory!$B$5:$B$34,MATCH(B94,Syn_AI_Inventory!$A$5:$A$34,0))</f>
        <v>Synthetic Training Video Generator</v>
      </c>
      <c r="D94" s="80" t="str">
        <f>INDEX(Syn_Tiering!$Q$5:$Q$34,MATCH(B94,Syn_Tiering!$A$5:$A$34,0))</f>
        <v>T2 - Elevated</v>
      </c>
      <c r="E94" s="80" t="s">
        <v>895</v>
      </c>
      <c r="F94" s="80" t="str">
        <f>INDEX(Framework_Map!$C$5:$C$28,MATCH(E94,Framework_Map!$A$5:$A$28,0))</f>
        <v>Disclose AI interaction; mark synthetic content; inform on emotion recognition</v>
      </c>
      <c r="G94" s="80" t="str">
        <f>INDEX(Framework_Map!$D$5:$D$28,MATCH(E94,Framework_Map!$A$5:$A$28,0))</f>
        <v>Art. 50</v>
      </c>
      <c r="H94" s="80" t="str">
        <f>INDEX(Framework_Map!$E$5:$E$28,MATCH(E94,Framework_Map!$A$5:$A$28,0))</f>
        <v>MEASURE 2.8</v>
      </c>
      <c r="I94" s="80" t="str">
        <f>INDEX(Framework_Map!$F$5:$F$28,MATCH(E94,Framework_Map!$A$5:$A$28,0))</f>
        <v>A.8.5; A.8.2</v>
      </c>
      <c r="J94" s="80" t="s">
        <v>85</v>
      </c>
      <c r="K94" s="80" t="s">
        <v>1360</v>
      </c>
      <c r="L94" s="80" t="s">
        <v>1203</v>
      </c>
      <c r="M94" s="82">
        <v>0.65</v>
      </c>
      <c r="N94" s="83">
        <f>IF(J94="Implemented",1,IF(J94="Partially Implemented",Config!$B$13,0))</f>
        <v>0.5</v>
      </c>
      <c r="O94" s="81">
        <v>46270</v>
      </c>
      <c r="P94" s="80" t="s">
        <v>1263</v>
      </c>
    </row>
    <row r="95" spans="1:16" ht="26.4" x14ac:dyDescent="0.3">
      <c r="A95" s="80" t="s">
        <v>1361</v>
      </c>
      <c r="B95" s="80" t="s">
        <v>1112</v>
      </c>
      <c r="C95" s="80" t="str">
        <f>INDEX(Syn_AI_Inventory!$B$5:$B$34,MATCH(B95,Syn_AI_Inventory!$A$5:$A$34,0))</f>
        <v>Synthetic Training Video Generator</v>
      </c>
      <c r="D95" s="80" t="str">
        <f>INDEX(Syn_Tiering!$Q$5:$Q$34,MATCH(B95,Syn_Tiering!$A$5:$A$34,0))</f>
        <v>T2 - Elevated</v>
      </c>
      <c r="E95" s="80" t="s">
        <v>901</v>
      </c>
      <c r="F95" s="80" t="str">
        <f>INDEX(Framework_Map!$C$5:$C$28,MATCH(E95,Framework_Map!$A$5:$A$28,0))</f>
        <v>Supply-chain AI risk: supplier documentation, contracts, responsibilities</v>
      </c>
      <c r="G95" s="80" t="str">
        <f>INDEX(Framework_Map!$D$5:$D$28,MATCH(E95,Framework_Map!$A$5:$A$28,0))</f>
        <v>Art. 25</v>
      </c>
      <c r="H95" s="80" t="str">
        <f>INDEX(Framework_Map!$E$5:$E$28,MATCH(E95,Framework_Map!$A$5:$A$28,0))</f>
        <v>GOVERN 6.1, MAP 4.1</v>
      </c>
      <c r="I95" s="80" t="str">
        <f>INDEX(Framework_Map!$F$5:$F$28,MATCH(E95,Framework_Map!$A$5:$A$28,0))</f>
        <v>A.10.2, A.10.3</v>
      </c>
      <c r="J95" s="80" t="s">
        <v>86</v>
      </c>
      <c r="K95" s="80" t="s">
        <v>650</v>
      </c>
      <c r="L95" s="80" t="s">
        <v>1203</v>
      </c>
      <c r="M95" s="82">
        <v>0.64</v>
      </c>
      <c r="N95" s="83">
        <f>IF(J95="Implemented",1,IF(J95="Partially Implemented",Config!$B$13,0))</f>
        <v>0</v>
      </c>
      <c r="O95" s="81">
        <v>46276</v>
      </c>
      <c r="P95" s="80" t="s">
        <v>1201</v>
      </c>
    </row>
    <row r="96" spans="1:16" ht="26.4" x14ac:dyDescent="0.3">
      <c r="A96" s="80" t="s">
        <v>1362</v>
      </c>
      <c r="B96" s="80" t="s">
        <v>1112</v>
      </c>
      <c r="C96" s="80" t="str">
        <f>INDEX(Syn_AI_Inventory!$B$5:$B$34,MATCH(B96,Syn_AI_Inventory!$A$5:$A$34,0))</f>
        <v>Synthetic Training Video Generator</v>
      </c>
      <c r="D96" s="80" t="str">
        <f>INDEX(Syn_Tiering!$Q$5:$Q$34,MATCH(B96,Syn_Tiering!$A$5:$A$34,0))</f>
        <v>T2 - Elevated</v>
      </c>
      <c r="E96" s="80" t="s">
        <v>909</v>
      </c>
      <c r="F96" s="80" t="str">
        <f>INDEX(Framework_Map!$C$5:$C$28,MATCH(E96,Framework_Map!$A$5:$A$28,0))</f>
        <v>AI literacy / role-based training</v>
      </c>
      <c r="G96" s="80" t="str">
        <f>INDEX(Framework_Map!$D$5:$D$28,MATCH(E96,Framework_Map!$A$5:$A$28,0))</f>
        <v>Art. 4 (verify wording post-Omnibus)</v>
      </c>
      <c r="H96" s="80" t="str">
        <f>INDEX(Framework_Map!$E$5:$E$28,MATCH(E96,Framework_Map!$A$5:$A$28,0))</f>
        <v>GOVERN 2.2</v>
      </c>
      <c r="I96" s="80" t="str">
        <f>INDEX(Framework_Map!$F$5:$F$28,MATCH(E96,Framework_Map!$A$5:$A$28,0))</f>
        <v>Cl. 7.2, 7.3; A.4.6</v>
      </c>
      <c r="J96" s="80" t="s">
        <v>84</v>
      </c>
      <c r="K96" s="80" t="s">
        <v>1363</v>
      </c>
      <c r="L96" s="80" t="s">
        <v>1203</v>
      </c>
      <c r="M96" s="82">
        <v>0.73</v>
      </c>
      <c r="N96" s="83">
        <f>IF(J96="Implemented",1,IF(J96="Partially Implemented",Config!$B$13,0))</f>
        <v>1</v>
      </c>
      <c r="O96" s="81">
        <v>46274</v>
      </c>
      <c r="P96" s="80" t="s">
        <v>1209</v>
      </c>
    </row>
    <row r="97" spans="1:16" ht="26.4" x14ac:dyDescent="0.3">
      <c r="A97" s="80" t="s">
        <v>1364</v>
      </c>
      <c r="B97" s="80" t="s">
        <v>1116</v>
      </c>
      <c r="C97" s="80" t="str">
        <f>INDEX(Syn_AI_Inventory!$B$5:$B$34,MATCH(B97,Syn_AI_Inventory!$A$5:$A$34,0))</f>
        <v>AML Transaction Monitoring</v>
      </c>
      <c r="D97" s="80" t="str">
        <f>INDEX(Syn_Tiering!$Q$5:$Q$34,MATCH(B97,Syn_Tiering!$A$5:$A$34,0))</f>
        <v>T1 - Critical</v>
      </c>
      <c r="E97" s="80" t="s">
        <v>777</v>
      </c>
      <c r="F97" s="80" t="str">
        <f>INDEX(Framework_Map!$C$5:$C$28,MATCH(E97,Framework_Map!$A$5:$A$28,0))</f>
        <v>Maintain AI system inventory with documented risk classification</v>
      </c>
      <c r="G97" s="80" t="str">
        <f>INDEX(Framework_Map!$D$5:$D$28,MATCH(E97,Framework_Map!$A$5:$A$28,0))</f>
        <v>Art. 6, Annex III; Art. 49 (registration)</v>
      </c>
      <c r="H97" s="80" t="str">
        <f>INDEX(Framework_Map!$E$5:$E$28,MATCH(E97,Framework_Map!$A$5:$A$28,0))</f>
        <v>GOVERN 1.6</v>
      </c>
      <c r="I97" s="80" t="str">
        <f>INDEX(Framework_Map!$F$5:$F$28,MATCH(E97,Framework_Map!$A$5:$A$28,0))</f>
        <v>Cl. 4.3; A.4.2</v>
      </c>
      <c r="J97" s="80" t="s">
        <v>84</v>
      </c>
      <c r="K97" s="80" t="s">
        <v>1365</v>
      </c>
      <c r="L97" s="80" t="s">
        <v>1200</v>
      </c>
      <c r="M97" s="82">
        <v>0.64</v>
      </c>
      <c r="N97" s="83">
        <f>IF(J97="Implemented",1,IF(J97="Partially Implemented",Config!$B$13,0))</f>
        <v>1</v>
      </c>
      <c r="O97" s="81">
        <v>46273</v>
      </c>
      <c r="P97" s="80" t="s">
        <v>1209</v>
      </c>
    </row>
    <row r="98" spans="1:16" ht="26.4" x14ac:dyDescent="0.3">
      <c r="A98" s="80" t="s">
        <v>1366</v>
      </c>
      <c r="B98" s="80" t="s">
        <v>1116</v>
      </c>
      <c r="C98" s="80" t="str">
        <f>INDEX(Syn_AI_Inventory!$B$5:$B$34,MATCH(B98,Syn_AI_Inventory!$A$5:$A$34,0))</f>
        <v>AML Transaction Monitoring</v>
      </c>
      <c r="D98" s="80" t="str">
        <f>INDEX(Syn_Tiering!$Q$5:$Q$34,MATCH(B98,Syn_Tiering!$A$5:$A$34,0))</f>
        <v>T1 - Critical</v>
      </c>
      <c r="E98" s="80" t="s">
        <v>787</v>
      </c>
      <c r="F98" s="80" t="str">
        <f>INDEX(Framework_Map!$C$5:$C$28,MATCH(E98,Framework_Map!$A$5:$A$28,0))</f>
        <v>Defined AI policy, roles and accountability</v>
      </c>
      <c r="G98" s="80" t="str">
        <f>INDEX(Framework_Map!$D$5:$D$28,MATCH(E98,Framework_Map!$A$5:$A$28,0))</f>
        <v>Art. 17 (QMS); Art. 26</v>
      </c>
      <c r="H98" s="80" t="str">
        <f>INDEX(Framework_Map!$E$5:$E$28,MATCH(E98,Framework_Map!$A$5:$A$28,0))</f>
        <v>GOVERN 1.2, GOVERN 2.1</v>
      </c>
      <c r="I98" s="80" t="str">
        <f>INDEX(Framework_Map!$F$5:$F$28,MATCH(E98,Framework_Map!$A$5:$A$28,0))</f>
        <v>Cl. 5.2, 5.3; A.2.2; A.3.2</v>
      </c>
      <c r="J98" s="80" t="s">
        <v>85</v>
      </c>
      <c r="K98" s="80" t="s">
        <v>1367</v>
      </c>
      <c r="L98" s="80" t="s">
        <v>1200</v>
      </c>
      <c r="M98" s="82">
        <v>0.63</v>
      </c>
      <c r="N98" s="83">
        <f>IF(J98="Implemented",1,IF(J98="Partially Implemented",Config!$B$13,0))</f>
        <v>0.5</v>
      </c>
      <c r="O98" s="81">
        <v>46273</v>
      </c>
      <c r="P98" s="80" t="s">
        <v>1269</v>
      </c>
    </row>
    <row r="99" spans="1:16" ht="26.4" x14ac:dyDescent="0.3">
      <c r="A99" s="80" t="s">
        <v>1368</v>
      </c>
      <c r="B99" s="80" t="s">
        <v>1116</v>
      </c>
      <c r="C99" s="80" t="str">
        <f>INDEX(Syn_AI_Inventory!$B$5:$B$34,MATCH(B99,Syn_AI_Inventory!$A$5:$A$34,0))</f>
        <v>AML Transaction Monitoring</v>
      </c>
      <c r="D99" s="80" t="str">
        <f>INDEX(Syn_Tiering!$Q$5:$Q$34,MATCH(B99,Syn_Tiering!$A$5:$A$34,0))</f>
        <v>T1 - Critical</v>
      </c>
      <c r="E99" s="80" t="s">
        <v>794</v>
      </c>
      <c r="F99" s="80" t="str">
        <f>INDEX(Framework_Map!$C$5:$C$28,MATCH(E99,Framework_Map!$A$5:$A$28,0))</f>
        <v>Lifecycle risk management system for the AI system</v>
      </c>
      <c r="G99" s="80" t="str">
        <f>INDEX(Framework_Map!$D$5:$D$28,MATCH(E99,Framework_Map!$A$5:$A$28,0))</f>
        <v>Art. 9</v>
      </c>
      <c r="H99" s="80" t="str">
        <f>INDEX(Framework_Map!$E$5:$E$28,MATCH(E99,Framework_Map!$A$5:$A$28,0))</f>
        <v>MAP 5.1, MANAGE 1.2</v>
      </c>
      <c r="I99" s="80" t="str">
        <f>INDEX(Framework_Map!$F$5:$F$28,MATCH(E99,Framework_Map!$A$5:$A$28,0))</f>
        <v>Cl. 6.1.2, 6.1.3, 8.2, 8.3</v>
      </c>
      <c r="J99" s="80" t="s">
        <v>84</v>
      </c>
      <c r="K99" s="80" t="s">
        <v>1369</v>
      </c>
      <c r="L99" s="80" t="s">
        <v>1203</v>
      </c>
      <c r="M99" s="82">
        <v>0.83</v>
      </c>
      <c r="N99" s="83">
        <f>IF(J99="Implemented",1,IF(J99="Partially Implemented",Config!$B$13,0))</f>
        <v>1</v>
      </c>
      <c r="O99" s="81">
        <v>46270</v>
      </c>
      <c r="P99" s="80" t="s">
        <v>1209</v>
      </c>
    </row>
    <row r="100" spans="1:16" ht="26.4" x14ac:dyDescent="0.3">
      <c r="A100" s="80" t="s">
        <v>1370</v>
      </c>
      <c r="B100" s="80" t="s">
        <v>1116</v>
      </c>
      <c r="C100" s="80" t="str">
        <f>INDEX(Syn_AI_Inventory!$B$5:$B$34,MATCH(B100,Syn_AI_Inventory!$A$5:$A$34,0))</f>
        <v>AML Transaction Monitoring</v>
      </c>
      <c r="D100" s="80" t="str">
        <f>INDEX(Syn_Tiering!$Q$5:$Q$34,MATCH(B100,Syn_Tiering!$A$5:$A$34,0))</f>
        <v>T1 - Critical</v>
      </c>
      <c r="E100" s="80" t="s">
        <v>840</v>
      </c>
      <c r="F100" s="80" t="str">
        <f>INDEX(Framework_Map!$C$5:$C$28,MATCH(E100,Framework_Map!$A$5:$A$28,0))</f>
        <v>Accuracy, robustness and cybersecurity</v>
      </c>
      <c r="G100" s="80" t="str">
        <f>INDEX(Framework_Map!$D$5:$D$28,MATCH(E100,Framework_Map!$A$5:$A$28,0))</f>
        <v>Art. 15</v>
      </c>
      <c r="H100" s="80" t="str">
        <f>INDEX(Framework_Map!$E$5:$E$28,MATCH(E100,Framework_Map!$A$5:$A$28,0))</f>
        <v>MEASURE 2.5, MEASURE 2.7</v>
      </c>
      <c r="I100" s="80" t="str">
        <f>INDEX(Framework_Map!$F$5:$F$28,MATCH(E100,Framework_Map!$A$5:$A$28,0))</f>
        <v>A.6.2.4</v>
      </c>
      <c r="J100" s="80" t="s">
        <v>84</v>
      </c>
      <c r="K100" s="80" t="s">
        <v>1371</v>
      </c>
      <c r="L100" s="80" t="s">
        <v>1203</v>
      </c>
      <c r="M100" s="82">
        <v>0.81</v>
      </c>
      <c r="N100" s="83">
        <f>IF(J100="Implemented",1,IF(J100="Partially Implemented",Config!$B$13,0))</f>
        <v>1</v>
      </c>
      <c r="O100" s="81">
        <v>46280</v>
      </c>
      <c r="P100" s="80" t="s">
        <v>1209</v>
      </c>
    </row>
    <row r="101" spans="1:16" ht="26.4" x14ac:dyDescent="0.3">
      <c r="A101" s="80" t="s">
        <v>1372</v>
      </c>
      <c r="B101" s="80" t="s">
        <v>1122</v>
      </c>
      <c r="C101" s="80" t="str">
        <f>INDEX(Syn_AI_Inventory!$B$5:$B$34,MATCH(B101,Syn_AI_Inventory!$A$5:$A$34,0))</f>
        <v>Voice Biometric Authentication</v>
      </c>
      <c r="D101" s="80" t="str">
        <f>INDEX(Syn_Tiering!$Q$5:$Q$34,MATCH(B101,Syn_Tiering!$A$5:$A$34,0))</f>
        <v>T1 - Critical</v>
      </c>
      <c r="E101" s="80" t="s">
        <v>777</v>
      </c>
      <c r="F101" s="80" t="str">
        <f>INDEX(Framework_Map!$C$5:$C$28,MATCH(E101,Framework_Map!$A$5:$A$28,0))</f>
        <v>Maintain AI system inventory with documented risk classification</v>
      </c>
      <c r="G101" s="80" t="str">
        <f>INDEX(Framework_Map!$D$5:$D$28,MATCH(E101,Framework_Map!$A$5:$A$28,0))</f>
        <v>Art. 6, Annex III; Art. 49 (registration)</v>
      </c>
      <c r="H101" s="80" t="str">
        <f>INDEX(Framework_Map!$E$5:$E$28,MATCH(E101,Framework_Map!$A$5:$A$28,0))</f>
        <v>GOVERN 1.6</v>
      </c>
      <c r="I101" s="80" t="str">
        <f>INDEX(Framework_Map!$F$5:$F$28,MATCH(E101,Framework_Map!$A$5:$A$28,0))</f>
        <v>Cl. 4.3; A.4.2</v>
      </c>
      <c r="J101" s="80" t="s">
        <v>85</v>
      </c>
      <c r="K101" s="80" t="s">
        <v>1373</v>
      </c>
      <c r="L101" s="80" t="s">
        <v>1200</v>
      </c>
      <c r="M101" s="82">
        <v>0.86</v>
      </c>
      <c r="N101" s="83">
        <f>IF(J101="Implemented",1,IF(J101="Partially Implemented",Config!$B$13,0))</f>
        <v>0.5</v>
      </c>
      <c r="O101" s="81">
        <v>46275</v>
      </c>
      <c r="P101" s="80" t="s">
        <v>1206</v>
      </c>
    </row>
    <row r="102" spans="1:16" ht="26.4" x14ac:dyDescent="0.3">
      <c r="A102" s="80" t="s">
        <v>1374</v>
      </c>
      <c r="B102" s="80" t="s">
        <v>1122</v>
      </c>
      <c r="C102" s="80" t="str">
        <f>INDEX(Syn_AI_Inventory!$B$5:$B$34,MATCH(B102,Syn_AI_Inventory!$A$5:$A$34,0))</f>
        <v>Voice Biometric Authentication</v>
      </c>
      <c r="D102" s="80" t="str">
        <f>INDEX(Syn_Tiering!$Q$5:$Q$34,MATCH(B102,Syn_Tiering!$A$5:$A$34,0))</f>
        <v>T1 - Critical</v>
      </c>
      <c r="E102" s="80" t="s">
        <v>794</v>
      </c>
      <c r="F102" s="80" t="str">
        <f>INDEX(Framework_Map!$C$5:$C$28,MATCH(E102,Framework_Map!$A$5:$A$28,0))</f>
        <v>Lifecycle risk management system for the AI system</v>
      </c>
      <c r="G102" s="80" t="str">
        <f>INDEX(Framework_Map!$D$5:$D$28,MATCH(E102,Framework_Map!$A$5:$A$28,0))</f>
        <v>Art. 9</v>
      </c>
      <c r="H102" s="80" t="str">
        <f>INDEX(Framework_Map!$E$5:$E$28,MATCH(E102,Framework_Map!$A$5:$A$28,0))</f>
        <v>MAP 5.1, MANAGE 1.2</v>
      </c>
      <c r="I102" s="80" t="str">
        <f>INDEX(Framework_Map!$F$5:$F$28,MATCH(E102,Framework_Map!$A$5:$A$28,0))</f>
        <v>Cl. 6.1.2, 6.1.3, 8.2, 8.3</v>
      </c>
      <c r="J102" s="80" t="s">
        <v>84</v>
      </c>
      <c r="K102" s="80" t="s">
        <v>1375</v>
      </c>
      <c r="L102" s="80" t="s">
        <v>1203</v>
      </c>
      <c r="M102" s="82">
        <v>0.94</v>
      </c>
      <c r="N102" s="83">
        <f>IF(J102="Implemented",1,IF(J102="Partially Implemented",Config!$B$13,0))</f>
        <v>1</v>
      </c>
      <c r="O102" s="81">
        <v>46287</v>
      </c>
      <c r="P102" s="80" t="s">
        <v>1209</v>
      </c>
    </row>
    <row r="103" spans="1:16" ht="26.4" x14ac:dyDescent="0.3">
      <c r="A103" s="80" t="s">
        <v>1376</v>
      </c>
      <c r="B103" s="80" t="s">
        <v>1122</v>
      </c>
      <c r="C103" s="80" t="str">
        <f>INDEX(Syn_AI_Inventory!$B$5:$B$34,MATCH(B103,Syn_AI_Inventory!$A$5:$A$34,0))</f>
        <v>Voice Biometric Authentication</v>
      </c>
      <c r="D103" s="80" t="str">
        <f>INDEX(Syn_Tiering!$Q$5:$Q$34,MATCH(B103,Syn_Tiering!$A$5:$A$34,0))</f>
        <v>T1 - Critical</v>
      </c>
      <c r="E103" s="80" t="s">
        <v>647</v>
      </c>
      <c r="F103" s="80" t="str">
        <f>INDEX(Framework_Map!$C$5:$C$28,MATCH(E103,Framework_Map!$A$5:$A$28,0))</f>
        <v>Bias and fairness testing with subgroup analysis</v>
      </c>
      <c r="G103" s="80" t="str">
        <f>INDEX(Framework_Map!$D$5:$D$28,MATCH(E103,Framework_Map!$A$5:$A$28,0))</f>
        <v>Art. 10(2)</v>
      </c>
      <c r="H103" s="80" t="str">
        <f>INDEX(Framework_Map!$E$5:$E$28,MATCH(E103,Framework_Map!$A$5:$A$28,0))</f>
        <v>MEASURE 2.11</v>
      </c>
      <c r="I103" s="80" t="str">
        <f>INDEX(Framework_Map!$F$5:$F$28,MATCH(E103,Framework_Map!$A$5:$A$28,0))</f>
        <v>A.5.4; A.6.2.4</v>
      </c>
      <c r="J103" s="80" t="s">
        <v>86</v>
      </c>
      <c r="K103" s="80" t="s">
        <v>650</v>
      </c>
      <c r="L103" s="80" t="s">
        <v>1203</v>
      </c>
      <c r="M103" s="82">
        <v>0.75</v>
      </c>
      <c r="N103" s="83">
        <f>IF(J103="Implemented",1,IF(J103="Partially Implemented",Config!$B$13,0))</f>
        <v>0</v>
      </c>
      <c r="O103" s="81">
        <v>46268</v>
      </c>
      <c r="P103" s="80" t="s">
        <v>1201</v>
      </c>
    </row>
    <row r="104" spans="1:16" ht="26.4" x14ac:dyDescent="0.3">
      <c r="A104" s="80" t="s">
        <v>1377</v>
      </c>
      <c r="B104" s="80" t="s">
        <v>1122</v>
      </c>
      <c r="C104" s="80" t="str">
        <f>INDEX(Syn_AI_Inventory!$B$5:$B$34,MATCH(B104,Syn_AI_Inventory!$A$5:$A$34,0))</f>
        <v>Voice Biometric Authentication</v>
      </c>
      <c r="D104" s="80" t="str">
        <f>INDEX(Syn_Tiering!$Q$5:$Q$34,MATCH(B104,Syn_Tiering!$A$5:$A$34,0))</f>
        <v>T1 - Critical</v>
      </c>
      <c r="E104" s="80" t="s">
        <v>909</v>
      </c>
      <c r="F104" s="80" t="str">
        <f>INDEX(Framework_Map!$C$5:$C$28,MATCH(E104,Framework_Map!$A$5:$A$28,0))</f>
        <v>AI literacy / role-based training</v>
      </c>
      <c r="G104" s="80" t="str">
        <f>INDEX(Framework_Map!$D$5:$D$28,MATCH(E104,Framework_Map!$A$5:$A$28,0))</f>
        <v>Art. 4 (verify wording post-Omnibus)</v>
      </c>
      <c r="H104" s="80" t="str">
        <f>INDEX(Framework_Map!$E$5:$E$28,MATCH(E104,Framework_Map!$A$5:$A$28,0))</f>
        <v>GOVERN 2.2</v>
      </c>
      <c r="I104" s="80" t="str">
        <f>INDEX(Framework_Map!$F$5:$F$28,MATCH(E104,Framework_Map!$A$5:$A$28,0))</f>
        <v>Cl. 7.2, 7.3; A.4.6</v>
      </c>
      <c r="J104" s="80" t="s">
        <v>85</v>
      </c>
      <c r="K104" s="80" t="s">
        <v>1378</v>
      </c>
      <c r="L104" s="80" t="s">
        <v>1200</v>
      </c>
      <c r="M104" s="82">
        <v>0.7</v>
      </c>
      <c r="N104" s="83">
        <f>IF(J104="Implemented",1,IF(J104="Partially Implemented",Config!$B$13,0))</f>
        <v>0.5</v>
      </c>
      <c r="O104" s="81">
        <v>46287</v>
      </c>
      <c r="P104" s="80" t="s">
        <v>1222</v>
      </c>
    </row>
    <row r="105" spans="1:16" ht="26.4" x14ac:dyDescent="0.3">
      <c r="A105" s="80" t="s">
        <v>1379</v>
      </c>
      <c r="B105" s="80" t="s">
        <v>1126</v>
      </c>
      <c r="C105" s="80" t="str">
        <f>INDEX(Syn_AI_Inventory!$B$5:$B$34,MATCH(B105,Syn_AI_Inventory!$A$5:$A$34,0))</f>
        <v>Robo-Advisor Chat</v>
      </c>
      <c r="D105" s="80" t="str">
        <f>INDEX(Syn_Tiering!$Q$5:$Q$34,MATCH(B105,Syn_Tiering!$A$5:$A$34,0))</f>
        <v>T2 - Elevated</v>
      </c>
      <c r="E105" s="80" t="s">
        <v>777</v>
      </c>
      <c r="F105" s="80" t="str">
        <f>INDEX(Framework_Map!$C$5:$C$28,MATCH(E105,Framework_Map!$A$5:$A$28,0))</f>
        <v>Maintain AI system inventory with documented risk classification</v>
      </c>
      <c r="G105" s="80" t="str">
        <f>INDEX(Framework_Map!$D$5:$D$28,MATCH(E105,Framework_Map!$A$5:$A$28,0))</f>
        <v>Art. 6, Annex III; Art. 49 (registration)</v>
      </c>
      <c r="H105" s="80" t="str">
        <f>INDEX(Framework_Map!$E$5:$E$28,MATCH(E105,Framework_Map!$A$5:$A$28,0))</f>
        <v>GOVERN 1.6</v>
      </c>
      <c r="I105" s="80" t="str">
        <f>INDEX(Framework_Map!$F$5:$F$28,MATCH(E105,Framework_Map!$A$5:$A$28,0))</f>
        <v>Cl. 4.3; A.4.2</v>
      </c>
      <c r="J105" s="80" t="s">
        <v>85</v>
      </c>
      <c r="K105" s="80" t="s">
        <v>1380</v>
      </c>
      <c r="L105" s="80" t="s">
        <v>1200</v>
      </c>
      <c r="M105" s="82">
        <v>0.75</v>
      </c>
      <c r="N105" s="83">
        <f>IF(J105="Implemented",1,IF(J105="Partially Implemented",Config!$B$13,0))</f>
        <v>0.5</v>
      </c>
      <c r="O105" s="81">
        <v>46286</v>
      </c>
      <c r="P105" s="80" t="s">
        <v>1212</v>
      </c>
    </row>
    <row r="106" spans="1:16" ht="26.4" x14ac:dyDescent="0.3">
      <c r="A106" s="80" t="s">
        <v>1381</v>
      </c>
      <c r="B106" s="80" t="s">
        <v>1126</v>
      </c>
      <c r="C106" s="80" t="str">
        <f>INDEX(Syn_AI_Inventory!$B$5:$B$34,MATCH(B106,Syn_AI_Inventory!$A$5:$A$34,0))</f>
        <v>Robo-Advisor Chat</v>
      </c>
      <c r="D106" s="80" t="str">
        <f>INDEX(Syn_Tiering!$Q$5:$Q$34,MATCH(B106,Syn_Tiering!$A$5:$A$34,0))</f>
        <v>T2 - Elevated</v>
      </c>
      <c r="E106" s="80" t="s">
        <v>787</v>
      </c>
      <c r="F106" s="80" t="str">
        <f>INDEX(Framework_Map!$C$5:$C$28,MATCH(E106,Framework_Map!$A$5:$A$28,0))</f>
        <v>Defined AI policy, roles and accountability</v>
      </c>
      <c r="G106" s="80" t="str">
        <f>INDEX(Framework_Map!$D$5:$D$28,MATCH(E106,Framework_Map!$A$5:$A$28,0))</f>
        <v>Art. 17 (QMS); Art. 26</v>
      </c>
      <c r="H106" s="80" t="str">
        <f>INDEX(Framework_Map!$E$5:$E$28,MATCH(E106,Framework_Map!$A$5:$A$28,0))</f>
        <v>GOVERN 1.2, GOVERN 2.1</v>
      </c>
      <c r="I106" s="80" t="str">
        <f>INDEX(Framework_Map!$F$5:$F$28,MATCH(E106,Framework_Map!$A$5:$A$28,0))</f>
        <v>Cl. 5.2, 5.3; A.2.2; A.3.2</v>
      </c>
      <c r="J106" s="80" t="s">
        <v>84</v>
      </c>
      <c r="K106" s="80" t="s">
        <v>1382</v>
      </c>
      <c r="L106" s="80" t="s">
        <v>1203</v>
      </c>
      <c r="M106" s="82">
        <v>0.9</v>
      </c>
      <c r="N106" s="83">
        <f>IF(J106="Implemented",1,IF(J106="Partially Implemented",Config!$B$13,0))</f>
        <v>1</v>
      </c>
      <c r="O106" s="81">
        <v>46279</v>
      </c>
      <c r="P106" s="80" t="s">
        <v>1209</v>
      </c>
    </row>
    <row r="107" spans="1:16" ht="26.4" x14ac:dyDescent="0.3">
      <c r="A107" s="80" t="s">
        <v>1383</v>
      </c>
      <c r="B107" s="80" t="s">
        <v>1126</v>
      </c>
      <c r="C107" s="80" t="str">
        <f>INDEX(Syn_AI_Inventory!$B$5:$B$34,MATCH(B107,Syn_AI_Inventory!$A$5:$A$34,0))</f>
        <v>Robo-Advisor Chat</v>
      </c>
      <c r="D107" s="80" t="str">
        <f>INDEX(Syn_Tiering!$Q$5:$Q$34,MATCH(B107,Syn_Tiering!$A$5:$A$34,0))</f>
        <v>T2 - Elevated</v>
      </c>
      <c r="E107" s="80" t="s">
        <v>901</v>
      </c>
      <c r="F107" s="80" t="str">
        <f>INDEX(Framework_Map!$C$5:$C$28,MATCH(E107,Framework_Map!$A$5:$A$28,0))</f>
        <v>Supply-chain AI risk: supplier documentation, contracts, responsibilities</v>
      </c>
      <c r="G107" s="80" t="str">
        <f>INDEX(Framework_Map!$D$5:$D$28,MATCH(E107,Framework_Map!$A$5:$A$28,0))</f>
        <v>Art. 25</v>
      </c>
      <c r="H107" s="80" t="str">
        <f>INDEX(Framework_Map!$E$5:$E$28,MATCH(E107,Framework_Map!$A$5:$A$28,0))</f>
        <v>GOVERN 6.1, MAP 4.1</v>
      </c>
      <c r="I107" s="80" t="str">
        <f>INDEX(Framework_Map!$F$5:$F$28,MATCH(E107,Framework_Map!$A$5:$A$28,0))</f>
        <v>A.10.2, A.10.3</v>
      </c>
      <c r="J107" s="80" t="s">
        <v>87</v>
      </c>
      <c r="K107" s="80" t="s">
        <v>650</v>
      </c>
      <c r="L107" s="80" t="s">
        <v>1200</v>
      </c>
      <c r="M107" s="82">
        <v>0.92</v>
      </c>
      <c r="N107" s="83">
        <f>IF(J107="Implemented",1,IF(J107="Partially Implemented",Config!$B$13,0))</f>
        <v>0</v>
      </c>
      <c r="O107" s="81">
        <v>46288</v>
      </c>
      <c r="P107" s="80" t="s">
        <v>1233</v>
      </c>
    </row>
    <row r="108" spans="1:16" x14ac:dyDescent="0.3">
      <c r="A108" s="80" t="s">
        <v>1384</v>
      </c>
      <c r="B108" s="80" t="s">
        <v>1126</v>
      </c>
      <c r="C108" s="80" t="str">
        <f>INDEX(Syn_AI_Inventory!$B$5:$B$34,MATCH(B108,Syn_AI_Inventory!$A$5:$A$34,0))</f>
        <v>Robo-Advisor Chat</v>
      </c>
      <c r="D108" s="80" t="str">
        <f>INDEX(Syn_Tiering!$Q$5:$Q$34,MATCH(B108,Syn_Tiering!$A$5:$A$34,0))</f>
        <v>T2 - Elevated</v>
      </c>
      <c r="E108" s="80" t="s">
        <v>944</v>
      </c>
      <c r="F108" s="80" t="str">
        <f>INDEX(Framework_Map!$C$5:$C$28,MATCH(E108,Framework_Map!$A$5:$A$28,0))</f>
        <v>Corrective action and lessons-learned loop</v>
      </c>
      <c r="G108" s="80" t="str">
        <f>INDEX(Framework_Map!$D$5:$D$28,MATCH(E108,Framework_Map!$A$5:$A$28,0))</f>
        <v>—</v>
      </c>
      <c r="H108" s="80" t="str">
        <f>INDEX(Framework_Map!$E$5:$E$28,MATCH(E108,Framework_Map!$A$5:$A$28,0))</f>
        <v>MANAGE 4.2</v>
      </c>
      <c r="I108" s="80" t="str">
        <f>INDEX(Framework_Map!$F$5:$F$28,MATCH(E108,Framework_Map!$A$5:$A$28,0))</f>
        <v>Cl. 10.1, 10.2</v>
      </c>
      <c r="J108" s="80" t="s">
        <v>84</v>
      </c>
      <c r="K108" s="80" t="s">
        <v>1385</v>
      </c>
      <c r="L108" s="80" t="s">
        <v>1203</v>
      </c>
      <c r="M108" s="82">
        <v>0.87</v>
      </c>
      <c r="N108" s="83">
        <f>IF(J108="Implemented",1,IF(J108="Partially Implemented",Config!$B$13,0))</f>
        <v>1</v>
      </c>
      <c r="O108" s="81">
        <v>46285</v>
      </c>
      <c r="P108" s="80" t="s">
        <v>1209</v>
      </c>
    </row>
    <row r="109" spans="1:16" ht="26.4" x14ac:dyDescent="0.3">
      <c r="A109" s="80" t="s">
        <v>1386</v>
      </c>
      <c r="B109" s="80" t="s">
        <v>1130</v>
      </c>
      <c r="C109" s="80" t="str">
        <f>INDEX(Syn_AI_Inventory!$B$5:$B$34,MATCH(B109,Syn_AI_Inventory!$A$5:$A$34,0))</f>
        <v>Customer Churn Predictor</v>
      </c>
      <c r="D109" s="80" t="str">
        <f>INDEX(Syn_Tiering!$Q$5:$Q$34,MATCH(B109,Syn_Tiering!$A$5:$A$34,0))</f>
        <v>T3 - Standard</v>
      </c>
      <c r="E109" s="80" t="s">
        <v>777</v>
      </c>
      <c r="F109" s="80" t="str">
        <f>INDEX(Framework_Map!$C$5:$C$28,MATCH(E109,Framework_Map!$A$5:$A$28,0))</f>
        <v>Maintain AI system inventory with documented risk classification</v>
      </c>
      <c r="G109" s="80" t="str">
        <f>INDEX(Framework_Map!$D$5:$D$28,MATCH(E109,Framework_Map!$A$5:$A$28,0))</f>
        <v>Art. 6, Annex III; Art. 49 (registration)</v>
      </c>
      <c r="H109" s="80" t="str">
        <f>INDEX(Framework_Map!$E$5:$E$28,MATCH(E109,Framework_Map!$A$5:$A$28,0))</f>
        <v>GOVERN 1.6</v>
      </c>
      <c r="I109" s="80" t="str">
        <f>INDEX(Framework_Map!$F$5:$F$28,MATCH(E109,Framework_Map!$A$5:$A$28,0))</f>
        <v>Cl. 4.3; A.4.2</v>
      </c>
      <c r="J109" s="80" t="s">
        <v>86</v>
      </c>
      <c r="K109" s="80" t="s">
        <v>650</v>
      </c>
      <c r="L109" s="80" t="s">
        <v>1200</v>
      </c>
      <c r="M109" s="82">
        <v>0.88</v>
      </c>
      <c r="N109" s="83">
        <f>IF(J109="Implemented",1,IF(J109="Partially Implemented",Config!$B$13,0))</f>
        <v>0</v>
      </c>
      <c r="O109" s="81">
        <v>46279</v>
      </c>
      <c r="P109" s="80" t="s">
        <v>1201</v>
      </c>
    </row>
    <row r="110" spans="1:16" ht="26.4" x14ac:dyDescent="0.3">
      <c r="A110" s="80" t="s">
        <v>1387</v>
      </c>
      <c r="B110" s="80" t="s">
        <v>1130</v>
      </c>
      <c r="C110" s="80" t="str">
        <f>INDEX(Syn_AI_Inventory!$B$5:$B$34,MATCH(B110,Syn_AI_Inventory!$A$5:$A$34,0))</f>
        <v>Customer Churn Predictor</v>
      </c>
      <c r="D110" s="80" t="str">
        <f>INDEX(Syn_Tiering!$Q$5:$Q$34,MATCH(B110,Syn_Tiering!$A$5:$A$34,0))</f>
        <v>T3 - Standard</v>
      </c>
      <c r="E110" s="80" t="s">
        <v>909</v>
      </c>
      <c r="F110" s="80" t="str">
        <f>INDEX(Framework_Map!$C$5:$C$28,MATCH(E110,Framework_Map!$A$5:$A$28,0))</f>
        <v>AI literacy / role-based training</v>
      </c>
      <c r="G110" s="80" t="str">
        <f>INDEX(Framework_Map!$D$5:$D$28,MATCH(E110,Framework_Map!$A$5:$A$28,0))</f>
        <v>Art. 4 (verify wording post-Omnibus)</v>
      </c>
      <c r="H110" s="80" t="str">
        <f>INDEX(Framework_Map!$E$5:$E$28,MATCH(E110,Framework_Map!$A$5:$A$28,0))</f>
        <v>GOVERN 2.2</v>
      </c>
      <c r="I110" s="80" t="str">
        <f>INDEX(Framework_Map!$F$5:$F$28,MATCH(E110,Framework_Map!$A$5:$A$28,0))</f>
        <v>Cl. 7.2, 7.3; A.4.6</v>
      </c>
      <c r="J110" s="80" t="s">
        <v>86</v>
      </c>
      <c r="K110" s="80" t="s">
        <v>650</v>
      </c>
      <c r="L110" s="80" t="s">
        <v>1200</v>
      </c>
      <c r="M110" s="82">
        <v>0.71</v>
      </c>
      <c r="N110" s="83">
        <f>IF(J110="Implemented",1,IF(J110="Partially Implemented",Config!$B$13,0))</f>
        <v>0</v>
      </c>
      <c r="O110" s="81">
        <v>46268</v>
      </c>
      <c r="P110" s="80" t="s">
        <v>1201</v>
      </c>
    </row>
    <row r="111" spans="1:16" ht="26.4" x14ac:dyDescent="0.3">
      <c r="A111" s="80" t="s">
        <v>1388</v>
      </c>
      <c r="B111" s="80" t="s">
        <v>1134</v>
      </c>
      <c r="C111" s="80" t="str">
        <f>INDEX(Syn_AI_Inventory!$B$5:$B$34,MATCH(B111,Syn_AI_Inventory!$A$5:$A$34,0))</f>
        <v>Credit Limit Increase Recommender</v>
      </c>
      <c r="D111" s="80" t="str">
        <f>INDEX(Syn_Tiering!$Q$5:$Q$34,MATCH(B111,Syn_Tiering!$A$5:$A$34,0))</f>
        <v>T1 - Critical</v>
      </c>
      <c r="E111" s="80" t="s">
        <v>777</v>
      </c>
      <c r="F111" s="80" t="str">
        <f>INDEX(Framework_Map!$C$5:$C$28,MATCH(E111,Framework_Map!$A$5:$A$28,0))</f>
        <v>Maintain AI system inventory with documented risk classification</v>
      </c>
      <c r="G111" s="80" t="str">
        <f>INDEX(Framework_Map!$D$5:$D$28,MATCH(E111,Framework_Map!$A$5:$A$28,0))</f>
        <v>Art. 6, Annex III; Art. 49 (registration)</v>
      </c>
      <c r="H111" s="80" t="str">
        <f>INDEX(Framework_Map!$E$5:$E$28,MATCH(E111,Framework_Map!$A$5:$A$28,0))</f>
        <v>GOVERN 1.6</v>
      </c>
      <c r="I111" s="80" t="str">
        <f>INDEX(Framework_Map!$F$5:$F$28,MATCH(E111,Framework_Map!$A$5:$A$28,0))</f>
        <v>Cl. 4.3; A.4.2</v>
      </c>
      <c r="J111" s="80" t="s">
        <v>86</v>
      </c>
      <c r="K111" s="80" t="s">
        <v>650</v>
      </c>
      <c r="L111" s="80" t="s">
        <v>1203</v>
      </c>
      <c r="M111" s="82">
        <v>0.79</v>
      </c>
      <c r="N111" s="83">
        <f>IF(J111="Implemented",1,IF(J111="Partially Implemented",Config!$B$13,0))</f>
        <v>0</v>
      </c>
      <c r="O111" s="81">
        <v>46291</v>
      </c>
      <c r="P111" s="80" t="s">
        <v>1201</v>
      </c>
    </row>
    <row r="112" spans="1:16" ht="26.4" x14ac:dyDescent="0.3">
      <c r="A112" s="80" t="s">
        <v>1389</v>
      </c>
      <c r="B112" s="80" t="s">
        <v>1134</v>
      </c>
      <c r="C112" s="80" t="str">
        <f>INDEX(Syn_AI_Inventory!$B$5:$B$34,MATCH(B112,Syn_AI_Inventory!$A$5:$A$34,0))</f>
        <v>Credit Limit Increase Recommender</v>
      </c>
      <c r="D112" s="80" t="str">
        <f>INDEX(Syn_Tiering!$Q$5:$Q$34,MATCH(B112,Syn_Tiering!$A$5:$A$34,0))</f>
        <v>T1 - Critical</v>
      </c>
      <c r="E112" s="80" t="s">
        <v>818</v>
      </c>
      <c r="F112" s="80" t="str">
        <f>INDEX(Framework_Map!$C$5:$C$28,MATCH(E112,Framework_Map!$A$5:$A$28,0))</f>
        <v>Automatic event logging and retention</v>
      </c>
      <c r="G112" s="80" t="str">
        <f>INDEX(Framework_Map!$D$5:$D$28,MATCH(E112,Framework_Map!$A$5:$A$28,0))</f>
        <v>Art. 12</v>
      </c>
      <c r="H112" s="80" t="str">
        <f>INDEX(Framework_Map!$E$5:$E$28,MATCH(E112,Framework_Map!$A$5:$A$28,0))</f>
        <v>MANAGE 4.1</v>
      </c>
      <c r="I112" s="80" t="str">
        <f>INDEX(Framework_Map!$F$5:$F$28,MATCH(E112,Framework_Map!$A$5:$A$28,0))</f>
        <v>A.6.2.8</v>
      </c>
      <c r="J112" s="80" t="s">
        <v>84</v>
      </c>
      <c r="K112" s="80" t="s">
        <v>1390</v>
      </c>
      <c r="L112" s="80" t="s">
        <v>1203</v>
      </c>
      <c r="M112" s="82">
        <v>0.92</v>
      </c>
      <c r="N112" s="83">
        <f>IF(J112="Implemented",1,IF(J112="Partially Implemented",Config!$B$13,0))</f>
        <v>1</v>
      </c>
      <c r="O112" s="81">
        <v>46283</v>
      </c>
      <c r="P112" s="80" t="s">
        <v>1209</v>
      </c>
    </row>
    <row r="113" spans="1:16" ht="26.4" x14ac:dyDescent="0.3">
      <c r="A113" s="80" t="s">
        <v>1391</v>
      </c>
      <c r="B113" s="80" t="s">
        <v>1134</v>
      </c>
      <c r="C113" s="80" t="str">
        <f>INDEX(Syn_AI_Inventory!$B$5:$B$34,MATCH(B113,Syn_AI_Inventory!$A$5:$A$34,0))</f>
        <v>Credit Limit Increase Recommender</v>
      </c>
      <c r="D113" s="80" t="str">
        <f>INDEX(Syn_Tiering!$Q$5:$Q$34,MATCH(B113,Syn_Tiering!$A$5:$A$34,0))</f>
        <v>T1 - Critical</v>
      </c>
      <c r="E113" s="80" t="s">
        <v>833</v>
      </c>
      <c r="F113" s="80" t="str">
        <f>INDEX(Framework_Map!$C$5:$C$28,MATCH(E113,Framework_Map!$A$5:$A$28,0))</f>
        <v>Effective human oversight measures and competence</v>
      </c>
      <c r="G113" s="80" t="str">
        <f>INDEX(Framework_Map!$D$5:$D$28,MATCH(E113,Framework_Map!$A$5:$A$28,0))</f>
        <v>Art. 14; Art. 26(2)</v>
      </c>
      <c r="H113" s="80" t="str">
        <f>INDEX(Framework_Map!$E$5:$E$28,MATCH(E113,Framework_Map!$A$5:$A$28,0))</f>
        <v>MAP 3.5</v>
      </c>
      <c r="I113" s="80" t="str">
        <f>INDEX(Framework_Map!$F$5:$F$28,MATCH(E113,Framework_Map!$A$5:$A$28,0))</f>
        <v>A.9.2; A.6.1.3</v>
      </c>
      <c r="J113" s="80" t="s">
        <v>84</v>
      </c>
      <c r="K113" s="80" t="s">
        <v>1392</v>
      </c>
      <c r="L113" s="80" t="s">
        <v>1203</v>
      </c>
      <c r="M113" s="82">
        <v>0.65</v>
      </c>
      <c r="N113" s="83">
        <f>IF(J113="Implemented",1,IF(J113="Partially Implemented",Config!$B$13,0))</f>
        <v>1</v>
      </c>
      <c r="O113" s="81">
        <v>46281</v>
      </c>
      <c r="P113" s="80" t="s">
        <v>1209</v>
      </c>
    </row>
    <row r="114" spans="1:16" ht="26.4" x14ac:dyDescent="0.3">
      <c r="A114" s="80" t="s">
        <v>1393</v>
      </c>
      <c r="B114" s="80" t="s">
        <v>1134</v>
      </c>
      <c r="C114" s="80" t="str">
        <f>INDEX(Syn_AI_Inventory!$B$5:$B$34,MATCH(B114,Syn_AI_Inventory!$A$5:$A$34,0))</f>
        <v>Credit Limit Increase Recommender</v>
      </c>
      <c r="D114" s="80" t="str">
        <f>INDEX(Syn_Tiering!$Q$5:$Q$34,MATCH(B114,Syn_Tiering!$A$5:$A$34,0))</f>
        <v>T1 - Critical</v>
      </c>
      <c r="E114" s="80" t="s">
        <v>840</v>
      </c>
      <c r="F114" s="80" t="str">
        <f>INDEX(Framework_Map!$C$5:$C$28,MATCH(E114,Framework_Map!$A$5:$A$28,0))</f>
        <v>Accuracy, robustness and cybersecurity</v>
      </c>
      <c r="G114" s="80" t="str">
        <f>INDEX(Framework_Map!$D$5:$D$28,MATCH(E114,Framework_Map!$A$5:$A$28,0))</f>
        <v>Art. 15</v>
      </c>
      <c r="H114" s="80" t="str">
        <f>INDEX(Framework_Map!$E$5:$E$28,MATCH(E114,Framework_Map!$A$5:$A$28,0))</f>
        <v>MEASURE 2.5, MEASURE 2.7</v>
      </c>
      <c r="I114" s="80" t="str">
        <f>INDEX(Framework_Map!$F$5:$F$28,MATCH(E114,Framework_Map!$A$5:$A$28,0))</f>
        <v>A.6.2.4</v>
      </c>
      <c r="J114" s="80" t="s">
        <v>85</v>
      </c>
      <c r="K114" s="80" t="s">
        <v>1394</v>
      </c>
      <c r="L114" s="80" t="s">
        <v>1203</v>
      </c>
      <c r="M114" s="82">
        <v>0.85</v>
      </c>
      <c r="N114" s="83">
        <f>IF(J114="Implemented",1,IF(J114="Partially Implemented",Config!$B$13,0))</f>
        <v>0.5</v>
      </c>
      <c r="O114" s="81">
        <v>46280</v>
      </c>
      <c r="P114" s="80" t="s">
        <v>1263</v>
      </c>
    </row>
    <row r="115" spans="1:16" ht="26.4" x14ac:dyDescent="0.3">
      <c r="A115" s="80" t="s">
        <v>1395</v>
      </c>
      <c r="B115" s="80" t="s">
        <v>1134</v>
      </c>
      <c r="C115" s="80" t="str">
        <f>INDEX(Syn_AI_Inventory!$B$5:$B$34,MATCH(B115,Syn_AI_Inventory!$A$5:$A$34,0))</f>
        <v>Credit Limit Increase Recommender</v>
      </c>
      <c r="D115" s="80" t="str">
        <f>INDEX(Syn_Tiering!$Q$5:$Q$34,MATCH(B115,Syn_Tiering!$A$5:$A$34,0))</f>
        <v>T1 - Critical</v>
      </c>
      <c r="E115" s="80" t="s">
        <v>867</v>
      </c>
      <c r="F115" s="80" t="str">
        <f>INDEX(Framework_Map!$C$5:$C$28,MATCH(E115,Framework_Map!$A$5:$A$28,0))</f>
        <v>Conformity assessment, declaration of conformity, CE marking</v>
      </c>
      <c r="G115" s="80" t="str">
        <f>INDEX(Framework_Map!$D$5:$D$28,MATCH(E115,Framework_Map!$A$5:$A$28,0))</f>
        <v>Art. 43, 47, 48</v>
      </c>
      <c r="H115" s="80" t="str">
        <f>INDEX(Framework_Map!$E$5:$E$28,MATCH(E115,Framework_Map!$A$5:$A$28,0))</f>
        <v>GOVERN 1.1</v>
      </c>
      <c r="I115" s="80" t="str">
        <f>INDEX(Framework_Map!$F$5:$F$28,MATCH(E115,Framework_Map!$A$5:$A$28,0))</f>
        <v>Cl. 9.2 (closest)</v>
      </c>
      <c r="J115" s="80" t="s">
        <v>86</v>
      </c>
      <c r="K115" s="80" t="s">
        <v>650</v>
      </c>
      <c r="L115" s="80" t="s">
        <v>1203</v>
      </c>
      <c r="M115" s="82">
        <v>0.72</v>
      </c>
      <c r="N115" s="83">
        <f>IF(J115="Implemented",1,IF(J115="Partially Implemented",Config!$B$13,0))</f>
        <v>0</v>
      </c>
      <c r="O115" s="81">
        <v>46288</v>
      </c>
      <c r="P115" s="80" t="s">
        <v>1201</v>
      </c>
    </row>
    <row r="116" spans="1:16" ht="26.4" x14ac:dyDescent="0.3">
      <c r="A116" s="80" t="s">
        <v>1396</v>
      </c>
      <c r="B116" s="80" t="s">
        <v>1134</v>
      </c>
      <c r="C116" s="80" t="str">
        <f>INDEX(Syn_AI_Inventory!$B$5:$B$34,MATCH(B116,Syn_AI_Inventory!$A$5:$A$34,0))</f>
        <v>Credit Limit Increase Recommender</v>
      </c>
      <c r="D116" s="80" t="str">
        <f>INDEX(Syn_Tiering!$Q$5:$Q$34,MATCH(B116,Syn_Tiering!$A$5:$A$34,0))</f>
        <v>T1 - Critical</v>
      </c>
      <c r="E116" s="80" t="s">
        <v>881</v>
      </c>
      <c r="F116" s="80" t="str">
        <f>INDEX(Framework_Map!$C$5:$C$28,MATCH(E116,Framework_Map!$A$5:$A$28,0))</f>
        <v>Post-market / post-deployment monitoring plan</v>
      </c>
      <c r="G116" s="80" t="str">
        <f>INDEX(Framework_Map!$D$5:$D$28,MATCH(E116,Framework_Map!$A$5:$A$28,0))</f>
        <v>Art. 72</v>
      </c>
      <c r="H116" s="80" t="str">
        <f>INDEX(Framework_Map!$E$5:$E$28,MATCH(E116,Framework_Map!$A$5:$A$28,0))</f>
        <v>MANAGE 4.1</v>
      </c>
      <c r="I116" s="80" t="str">
        <f>INDEX(Framework_Map!$F$5:$F$28,MATCH(E116,Framework_Map!$A$5:$A$28,0))</f>
        <v>Cl. 9.1; A.6.2.6</v>
      </c>
      <c r="J116" s="80" t="s">
        <v>84</v>
      </c>
      <c r="K116" s="80" t="s">
        <v>1397</v>
      </c>
      <c r="L116" s="80" t="s">
        <v>1200</v>
      </c>
      <c r="M116" s="82">
        <v>0.82</v>
      </c>
      <c r="N116" s="83">
        <f>IF(J116="Implemented",1,IF(J116="Partially Implemented",Config!$B$13,0))</f>
        <v>1</v>
      </c>
      <c r="O116" s="81">
        <v>46283</v>
      </c>
      <c r="P116" s="80" t="s">
        <v>1209</v>
      </c>
    </row>
    <row r="117" spans="1:16" ht="26.4" x14ac:dyDescent="0.3">
      <c r="A117" s="80" t="s">
        <v>1398</v>
      </c>
      <c r="B117" s="80" t="s">
        <v>1134</v>
      </c>
      <c r="C117" s="80" t="str">
        <f>INDEX(Syn_AI_Inventory!$B$5:$B$34,MATCH(B117,Syn_AI_Inventory!$A$5:$A$34,0))</f>
        <v>Credit Limit Increase Recommender</v>
      </c>
      <c r="D117" s="80" t="str">
        <f>INDEX(Syn_Tiering!$Q$5:$Q$34,MATCH(B117,Syn_Tiering!$A$5:$A$34,0))</f>
        <v>T1 - Critical</v>
      </c>
      <c r="E117" s="80" t="s">
        <v>909</v>
      </c>
      <c r="F117" s="80" t="str">
        <f>INDEX(Framework_Map!$C$5:$C$28,MATCH(E117,Framework_Map!$A$5:$A$28,0))</f>
        <v>AI literacy / role-based training</v>
      </c>
      <c r="G117" s="80" t="str">
        <f>INDEX(Framework_Map!$D$5:$D$28,MATCH(E117,Framework_Map!$A$5:$A$28,0))</f>
        <v>Art. 4 (verify wording post-Omnibus)</v>
      </c>
      <c r="H117" s="80" t="str">
        <f>INDEX(Framework_Map!$E$5:$E$28,MATCH(E117,Framework_Map!$A$5:$A$28,0))</f>
        <v>GOVERN 2.2</v>
      </c>
      <c r="I117" s="80" t="str">
        <f>INDEX(Framework_Map!$F$5:$F$28,MATCH(E117,Framework_Map!$A$5:$A$28,0))</f>
        <v>Cl. 7.2, 7.3; A.4.6</v>
      </c>
      <c r="J117" s="80" t="s">
        <v>85</v>
      </c>
      <c r="K117" s="80" t="s">
        <v>1399</v>
      </c>
      <c r="L117" s="80" t="s">
        <v>1203</v>
      </c>
      <c r="M117" s="82">
        <v>0.96</v>
      </c>
      <c r="N117" s="83">
        <f>IF(J117="Implemented",1,IF(J117="Partially Implemented",Config!$B$13,0))</f>
        <v>0.5</v>
      </c>
      <c r="O117" s="81">
        <v>46276</v>
      </c>
      <c r="P117" s="80" t="s">
        <v>1212</v>
      </c>
    </row>
    <row r="118" spans="1:16" ht="26.4" x14ac:dyDescent="0.3">
      <c r="A118" s="80" t="s">
        <v>1400</v>
      </c>
      <c r="B118" s="80" t="s">
        <v>1134</v>
      </c>
      <c r="C118" s="80" t="str">
        <f>INDEX(Syn_AI_Inventory!$B$5:$B$34,MATCH(B118,Syn_AI_Inventory!$A$5:$A$34,0))</f>
        <v>Credit Limit Increase Recommender</v>
      </c>
      <c r="D118" s="80" t="str">
        <f>INDEX(Syn_Tiering!$Q$5:$Q$34,MATCH(B118,Syn_Tiering!$A$5:$A$34,0))</f>
        <v>T1 - Critical</v>
      </c>
      <c r="E118" s="80" t="s">
        <v>916</v>
      </c>
      <c r="F118" s="80" t="str">
        <f>INDEX(Framework_Map!$C$5:$C$28,MATCH(E118,Framework_Map!$A$5:$A$28,0))</f>
        <v>Use per instructions, monitor operation, retain logs, inform workers</v>
      </c>
      <c r="G118" s="80" t="str">
        <f>INDEX(Framework_Map!$D$5:$D$28,MATCH(E118,Framework_Map!$A$5:$A$28,0))</f>
        <v>Art. 26</v>
      </c>
      <c r="H118" s="80" t="str">
        <f>INDEX(Framework_Map!$E$5:$E$28,MATCH(E118,Framework_Map!$A$5:$A$28,0))</f>
        <v>MANAGE 4.1</v>
      </c>
      <c r="I118" s="80" t="str">
        <f>INDEX(Framework_Map!$F$5:$F$28,MATCH(E118,Framework_Map!$A$5:$A$28,0))</f>
        <v>A.9.2; A.9.4</v>
      </c>
      <c r="J118" s="80" t="s">
        <v>85</v>
      </c>
      <c r="K118" s="80" t="s">
        <v>1401</v>
      </c>
      <c r="L118" s="80" t="s">
        <v>1203</v>
      </c>
      <c r="M118" s="82">
        <v>0.71</v>
      </c>
      <c r="N118" s="83">
        <f>IF(J118="Implemented",1,IF(J118="Partially Implemented",Config!$B$13,0))</f>
        <v>0.5</v>
      </c>
      <c r="O118" s="81">
        <v>46273</v>
      </c>
      <c r="P118" s="80" t="s">
        <v>1222</v>
      </c>
    </row>
    <row r="119" spans="1:16" ht="26.4" x14ac:dyDescent="0.3">
      <c r="A119" s="80" t="s">
        <v>1402</v>
      </c>
      <c r="B119" s="80" t="s">
        <v>1137</v>
      </c>
      <c r="C119" s="80" t="str">
        <f>INDEX(Syn_AI_Inventory!$B$5:$B$34,MATCH(B119,Syn_AI_Inventory!$A$5:$A$34,0))</f>
        <v>Health Underwriting Assistant</v>
      </c>
      <c r="D119" s="80" t="str">
        <f>INDEX(Syn_Tiering!$Q$5:$Q$34,MATCH(B119,Syn_Tiering!$A$5:$A$34,0))</f>
        <v>T1 - Critical</v>
      </c>
      <c r="E119" s="80" t="s">
        <v>802</v>
      </c>
      <c r="F119" s="80" t="str">
        <f>INDEX(Framework_Map!$C$5:$C$28,MATCH(E119,Framework_Map!$A$5:$A$28,0))</f>
        <v>Data quality, provenance, representativeness and bias examination</v>
      </c>
      <c r="G119" s="80" t="str">
        <f>INDEX(Framework_Map!$D$5:$D$28,MATCH(E119,Framework_Map!$A$5:$A$28,0))</f>
        <v>Art. 10</v>
      </c>
      <c r="H119" s="80" t="str">
        <f>INDEX(Framework_Map!$E$5:$E$28,MATCH(E119,Framework_Map!$A$5:$A$28,0))</f>
        <v>MAP 2.3</v>
      </c>
      <c r="I119" s="80" t="str">
        <f>INDEX(Framework_Map!$F$5:$F$28,MATCH(E119,Framework_Map!$A$5:$A$28,0))</f>
        <v>A.7.2, A.7.4, A.7.5</v>
      </c>
      <c r="J119" s="80" t="s">
        <v>85</v>
      </c>
      <c r="K119" s="80" t="s">
        <v>1403</v>
      </c>
      <c r="L119" s="80" t="s">
        <v>1200</v>
      </c>
      <c r="M119" s="82">
        <v>0.82</v>
      </c>
      <c r="N119" s="83">
        <f>IF(J119="Implemented",1,IF(J119="Partially Implemented",Config!$B$13,0))</f>
        <v>0.5</v>
      </c>
      <c r="O119" s="81">
        <v>46285</v>
      </c>
      <c r="P119" s="80" t="s">
        <v>1212</v>
      </c>
    </row>
    <row r="120" spans="1:16" x14ac:dyDescent="0.3">
      <c r="A120" s="80" t="s">
        <v>1404</v>
      </c>
      <c r="B120" s="80" t="s">
        <v>1137</v>
      </c>
      <c r="C120" s="80" t="str">
        <f>INDEX(Syn_AI_Inventory!$B$5:$B$34,MATCH(B120,Syn_AI_Inventory!$A$5:$A$34,0))</f>
        <v>Health Underwriting Assistant</v>
      </c>
      <c r="D120" s="80" t="str">
        <f>INDEX(Syn_Tiering!$Q$5:$Q$34,MATCH(B120,Syn_Tiering!$A$5:$A$34,0))</f>
        <v>T1 - Critical</v>
      </c>
      <c r="E120" s="80" t="s">
        <v>818</v>
      </c>
      <c r="F120" s="80" t="str">
        <f>INDEX(Framework_Map!$C$5:$C$28,MATCH(E120,Framework_Map!$A$5:$A$28,0))</f>
        <v>Automatic event logging and retention</v>
      </c>
      <c r="G120" s="80" t="str">
        <f>INDEX(Framework_Map!$D$5:$D$28,MATCH(E120,Framework_Map!$A$5:$A$28,0))</f>
        <v>Art. 12</v>
      </c>
      <c r="H120" s="80" t="str">
        <f>INDEX(Framework_Map!$E$5:$E$28,MATCH(E120,Framework_Map!$A$5:$A$28,0))</f>
        <v>MANAGE 4.1</v>
      </c>
      <c r="I120" s="80" t="str">
        <f>INDEX(Framework_Map!$F$5:$F$28,MATCH(E120,Framework_Map!$A$5:$A$28,0))</f>
        <v>A.6.2.8</v>
      </c>
      <c r="J120" s="80" t="s">
        <v>84</v>
      </c>
      <c r="K120" s="80" t="s">
        <v>1405</v>
      </c>
      <c r="L120" s="80" t="s">
        <v>1203</v>
      </c>
      <c r="M120" s="82">
        <v>0.9</v>
      </c>
      <c r="N120" s="83">
        <f>IF(J120="Implemented",1,IF(J120="Partially Implemented",Config!$B$13,0))</f>
        <v>1</v>
      </c>
      <c r="O120" s="81">
        <v>46273</v>
      </c>
      <c r="P120" s="80" t="s">
        <v>1209</v>
      </c>
    </row>
    <row r="121" spans="1:16" ht="26.4" x14ac:dyDescent="0.3">
      <c r="A121" s="80" t="s">
        <v>1406</v>
      </c>
      <c r="B121" s="80" t="s">
        <v>1137</v>
      </c>
      <c r="C121" s="80" t="str">
        <f>INDEX(Syn_AI_Inventory!$B$5:$B$34,MATCH(B121,Syn_AI_Inventory!$A$5:$A$34,0))</f>
        <v>Health Underwriting Assistant</v>
      </c>
      <c r="D121" s="80" t="str">
        <f>INDEX(Syn_Tiering!$Q$5:$Q$34,MATCH(B121,Syn_Tiering!$A$5:$A$34,0))</f>
        <v>T1 - Critical</v>
      </c>
      <c r="E121" s="80" t="s">
        <v>826</v>
      </c>
      <c r="F121" s="80" t="str">
        <f>INDEX(Framework_Map!$C$5:$C$28,MATCH(E121,Framework_Map!$A$5:$A$28,0))</f>
        <v>Instructions for use and information for deployers</v>
      </c>
      <c r="G121" s="80" t="str">
        <f>INDEX(Framework_Map!$D$5:$D$28,MATCH(E121,Framework_Map!$A$5:$A$28,0))</f>
        <v>Art. 13</v>
      </c>
      <c r="H121" s="80" t="str">
        <f>INDEX(Framework_Map!$E$5:$E$28,MATCH(E121,Framework_Map!$A$5:$A$28,0))</f>
        <v>MEASURE 2.8</v>
      </c>
      <c r="I121" s="80" t="str">
        <f>INDEX(Framework_Map!$F$5:$F$28,MATCH(E121,Framework_Map!$A$5:$A$28,0))</f>
        <v>A.8.2; A.8.5</v>
      </c>
      <c r="J121" s="80" t="s">
        <v>85</v>
      </c>
      <c r="K121" s="80" t="s">
        <v>1407</v>
      </c>
      <c r="L121" s="80" t="s">
        <v>1203</v>
      </c>
      <c r="M121" s="82">
        <v>0.62</v>
      </c>
      <c r="N121" s="83">
        <f>IF(J121="Implemented",1,IF(J121="Partially Implemented",Config!$B$13,0))</f>
        <v>0.5</v>
      </c>
      <c r="O121" s="81">
        <v>46270</v>
      </c>
      <c r="P121" s="80" t="s">
        <v>1212</v>
      </c>
    </row>
    <row r="122" spans="1:16" ht="26.4" x14ac:dyDescent="0.3">
      <c r="A122" s="80" t="s">
        <v>1408</v>
      </c>
      <c r="B122" s="80" t="s">
        <v>1137</v>
      </c>
      <c r="C122" s="80" t="str">
        <f>INDEX(Syn_AI_Inventory!$B$5:$B$34,MATCH(B122,Syn_AI_Inventory!$A$5:$A$34,0))</f>
        <v>Health Underwriting Assistant</v>
      </c>
      <c r="D122" s="80" t="str">
        <f>INDEX(Syn_Tiering!$Q$5:$Q$34,MATCH(B122,Syn_Tiering!$A$5:$A$34,0))</f>
        <v>T1 - Critical</v>
      </c>
      <c r="E122" s="80" t="s">
        <v>653</v>
      </c>
      <c r="F122" s="80" t="str">
        <f>INDEX(Framework_Map!$C$5:$C$28,MATCH(E122,Framework_Map!$A$5:$A$28,0))</f>
        <v>Quality management system covering AI lifecycle</v>
      </c>
      <c r="G122" s="80" t="str">
        <f>INDEX(Framework_Map!$D$5:$D$28,MATCH(E122,Framework_Map!$A$5:$A$28,0))</f>
        <v>Art. 17</v>
      </c>
      <c r="H122" s="80" t="str">
        <f>INDEX(Framework_Map!$E$5:$E$28,MATCH(E122,Framework_Map!$A$5:$A$28,0))</f>
        <v>GOVERN 1.4</v>
      </c>
      <c r="I122" s="80" t="str">
        <f>INDEX(Framework_Map!$F$5:$F$28,MATCH(E122,Framework_Map!$A$5:$A$28,0))</f>
        <v>Cl. 4.4, 7.5, 8.1</v>
      </c>
      <c r="J122" s="80" t="s">
        <v>84</v>
      </c>
      <c r="K122" s="80" t="s">
        <v>1409</v>
      </c>
      <c r="L122" s="80" t="s">
        <v>1203</v>
      </c>
      <c r="M122" s="82">
        <v>0.81</v>
      </c>
      <c r="N122" s="83">
        <f>IF(J122="Implemented",1,IF(J122="Partially Implemented",Config!$B$13,0))</f>
        <v>1</v>
      </c>
      <c r="O122" s="81">
        <v>46286</v>
      </c>
      <c r="P122" s="80" t="s">
        <v>1209</v>
      </c>
    </row>
    <row r="123" spans="1:16" ht="26.4" x14ac:dyDescent="0.3">
      <c r="A123" s="80" t="s">
        <v>1410</v>
      </c>
      <c r="B123" s="80" t="s">
        <v>1137</v>
      </c>
      <c r="C123" s="80" t="str">
        <f>INDEX(Syn_AI_Inventory!$B$5:$B$34,MATCH(B123,Syn_AI_Inventory!$A$5:$A$34,0))</f>
        <v>Health Underwriting Assistant</v>
      </c>
      <c r="D123" s="80" t="str">
        <f>INDEX(Syn_Tiering!$Q$5:$Q$34,MATCH(B123,Syn_Tiering!$A$5:$A$34,0))</f>
        <v>T1 - Critical</v>
      </c>
      <c r="E123" s="80" t="s">
        <v>660</v>
      </c>
      <c r="F123" s="80" t="str">
        <f>INDEX(Framework_Map!$C$5:$C$28,MATCH(E123,Framework_Map!$A$5:$A$28,0))</f>
        <v>Fundamental rights / AI system impact assessment</v>
      </c>
      <c r="G123" s="80" t="str">
        <f>INDEX(Framework_Map!$D$5:$D$28,MATCH(E123,Framework_Map!$A$5:$A$28,0))</f>
        <v>Art. 27</v>
      </c>
      <c r="H123" s="80" t="str">
        <f>INDEX(Framework_Map!$E$5:$E$28,MATCH(E123,Framework_Map!$A$5:$A$28,0))</f>
        <v>MAP 1.1, MAP 5.1</v>
      </c>
      <c r="I123" s="80" t="str">
        <f>INDEX(Framework_Map!$F$5:$F$28,MATCH(E123,Framework_Map!$A$5:$A$28,0))</f>
        <v>Cl. 6.1.4, 8.4; A.5.2–A.5.4</v>
      </c>
      <c r="J123" s="80" t="s">
        <v>86</v>
      </c>
      <c r="K123" s="80" t="s">
        <v>650</v>
      </c>
      <c r="L123" s="80" t="s">
        <v>1203</v>
      </c>
      <c r="M123" s="82">
        <v>0.65</v>
      </c>
      <c r="N123" s="83">
        <f>IF(J123="Implemented",1,IF(J123="Partially Implemented",Config!$B$13,0))</f>
        <v>0</v>
      </c>
      <c r="O123" s="81">
        <v>46284</v>
      </c>
      <c r="P123" s="80" t="s">
        <v>1201</v>
      </c>
    </row>
    <row r="124" spans="1:16" x14ac:dyDescent="0.3">
      <c r="A124" s="80" t="s">
        <v>1411</v>
      </c>
      <c r="B124" s="80" t="s">
        <v>1137</v>
      </c>
      <c r="C124" s="80" t="str">
        <f>INDEX(Syn_AI_Inventory!$B$5:$B$34,MATCH(B124,Syn_AI_Inventory!$A$5:$A$34,0))</f>
        <v>Health Underwriting Assistant</v>
      </c>
      <c r="D124" s="80" t="str">
        <f>INDEX(Syn_Tiering!$Q$5:$Q$34,MATCH(B124,Syn_Tiering!$A$5:$A$34,0))</f>
        <v>T1 - Critical</v>
      </c>
      <c r="E124" s="80" t="s">
        <v>881</v>
      </c>
      <c r="F124" s="80" t="str">
        <f>INDEX(Framework_Map!$C$5:$C$28,MATCH(E124,Framework_Map!$A$5:$A$28,0))</f>
        <v>Post-market / post-deployment monitoring plan</v>
      </c>
      <c r="G124" s="80" t="str">
        <f>INDEX(Framework_Map!$D$5:$D$28,MATCH(E124,Framework_Map!$A$5:$A$28,0))</f>
        <v>Art. 72</v>
      </c>
      <c r="H124" s="80" t="str">
        <f>INDEX(Framework_Map!$E$5:$E$28,MATCH(E124,Framework_Map!$A$5:$A$28,0))</f>
        <v>MANAGE 4.1</v>
      </c>
      <c r="I124" s="80" t="str">
        <f>INDEX(Framework_Map!$F$5:$F$28,MATCH(E124,Framework_Map!$A$5:$A$28,0))</f>
        <v>Cl. 9.1; A.6.2.6</v>
      </c>
      <c r="J124" s="80" t="s">
        <v>84</v>
      </c>
      <c r="K124" s="80" t="s">
        <v>1412</v>
      </c>
      <c r="L124" s="80" t="s">
        <v>1203</v>
      </c>
      <c r="M124" s="82">
        <v>0.77</v>
      </c>
      <c r="N124" s="83">
        <f>IF(J124="Implemented",1,IF(J124="Partially Implemented",Config!$B$13,0))</f>
        <v>1</v>
      </c>
      <c r="O124" s="81">
        <v>46267</v>
      </c>
      <c r="P124" s="80" t="s">
        <v>1209</v>
      </c>
    </row>
    <row r="125" spans="1:16" ht="26.4" x14ac:dyDescent="0.3">
      <c r="A125" s="80" t="s">
        <v>1413</v>
      </c>
      <c r="B125" s="80" t="s">
        <v>1137</v>
      </c>
      <c r="C125" s="80" t="str">
        <f>INDEX(Syn_AI_Inventory!$B$5:$B$34,MATCH(B125,Syn_AI_Inventory!$A$5:$A$34,0))</f>
        <v>Health Underwriting Assistant</v>
      </c>
      <c r="D125" s="80" t="str">
        <f>INDEX(Syn_Tiering!$Q$5:$Q$34,MATCH(B125,Syn_Tiering!$A$5:$A$34,0))</f>
        <v>T1 - Critical</v>
      </c>
      <c r="E125" s="80" t="s">
        <v>901</v>
      </c>
      <c r="F125" s="80" t="str">
        <f>INDEX(Framework_Map!$C$5:$C$28,MATCH(E125,Framework_Map!$A$5:$A$28,0))</f>
        <v>Supply-chain AI risk: supplier documentation, contracts, responsibilities</v>
      </c>
      <c r="G125" s="80" t="str">
        <f>INDEX(Framework_Map!$D$5:$D$28,MATCH(E125,Framework_Map!$A$5:$A$28,0))</f>
        <v>Art. 25</v>
      </c>
      <c r="H125" s="80" t="str">
        <f>INDEX(Framework_Map!$E$5:$E$28,MATCH(E125,Framework_Map!$A$5:$A$28,0))</f>
        <v>GOVERN 6.1, MAP 4.1</v>
      </c>
      <c r="I125" s="80" t="str">
        <f>INDEX(Framework_Map!$F$5:$F$28,MATCH(E125,Framework_Map!$A$5:$A$28,0))</f>
        <v>A.10.2, A.10.3</v>
      </c>
      <c r="J125" s="80" t="s">
        <v>84</v>
      </c>
      <c r="K125" s="80" t="s">
        <v>1414</v>
      </c>
      <c r="L125" s="80" t="s">
        <v>1203</v>
      </c>
      <c r="M125" s="82">
        <v>0.66</v>
      </c>
      <c r="N125" s="83">
        <f>IF(J125="Implemented",1,IF(J125="Partially Implemented",Config!$B$13,0))</f>
        <v>1</v>
      </c>
      <c r="O125" s="81">
        <v>46278</v>
      </c>
      <c r="P125" s="80" t="s">
        <v>1209</v>
      </c>
    </row>
    <row r="126" spans="1:16" x14ac:dyDescent="0.3">
      <c r="A126" s="80" t="s">
        <v>1415</v>
      </c>
      <c r="B126" s="80" t="s">
        <v>1137</v>
      </c>
      <c r="C126" s="80" t="str">
        <f>INDEX(Syn_AI_Inventory!$B$5:$B$34,MATCH(B126,Syn_AI_Inventory!$A$5:$A$34,0))</f>
        <v>Health Underwriting Assistant</v>
      </c>
      <c r="D126" s="80" t="str">
        <f>INDEX(Syn_Tiering!$Q$5:$Q$34,MATCH(B126,Syn_Tiering!$A$5:$A$34,0))</f>
        <v>T1 - Critical</v>
      </c>
      <c r="E126" s="80" t="s">
        <v>944</v>
      </c>
      <c r="F126" s="80" t="str">
        <f>INDEX(Framework_Map!$C$5:$C$28,MATCH(E126,Framework_Map!$A$5:$A$28,0))</f>
        <v>Corrective action and lessons-learned loop</v>
      </c>
      <c r="G126" s="80" t="str">
        <f>INDEX(Framework_Map!$D$5:$D$28,MATCH(E126,Framework_Map!$A$5:$A$28,0))</f>
        <v>—</v>
      </c>
      <c r="H126" s="80" t="str">
        <f>INDEX(Framework_Map!$E$5:$E$28,MATCH(E126,Framework_Map!$A$5:$A$28,0))</f>
        <v>MANAGE 4.2</v>
      </c>
      <c r="I126" s="80" t="str">
        <f>INDEX(Framework_Map!$F$5:$F$28,MATCH(E126,Framework_Map!$A$5:$A$28,0))</f>
        <v>Cl. 10.1, 10.2</v>
      </c>
      <c r="J126" s="80" t="s">
        <v>85</v>
      </c>
      <c r="K126" s="80" t="s">
        <v>1416</v>
      </c>
      <c r="L126" s="80" t="s">
        <v>1200</v>
      </c>
      <c r="M126" s="82">
        <v>0.83</v>
      </c>
      <c r="N126" s="83">
        <f>IF(J126="Implemented",1,IF(J126="Partially Implemented",Config!$B$13,0))</f>
        <v>0.5</v>
      </c>
      <c r="O126" s="81">
        <v>46270</v>
      </c>
      <c r="P126" s="80" t="s">
        <v>1269</v>
      </c>
    </row>
    <row r="127" spans="1:16" ht="26.4" x14ac:dyDescent="0.3">
      <c r="A127" s="80" t="s">
        <v>1417</v>
      </c>
      <c r="B127" s="80" t="s">
        <v>1141</v>
      </c>
      <c r="C127" s="80" t="str">
        <f>INDEX(Syn_AI_Inventory!$B$5:$B$34,MATCH(B127,Syn_AI_Inventory!$A$5:$A$34,0))</f>
        <v>Video Interview Analyser</v>
      </c>
      <c r="D127" s="80" t="str">
        <f>INDEX(Syn_Tiering!$Q$5:$Q$34,MATCH(B127,Syn_Tiering!$A$5:$A$34,0))</f>
        <v>T0 - Stop</v>
      </c>
      <c r="E127" s="80" t="s">
        <v>937</v>
      </c>
      <c r="F127" s="80" t="str">
        <f>INDEX(Framework_Map!$C$5:$C$28,MATCH(E127,Framework_Map!$A$5:$A$28,0))</f>
        <v>Screen for Art.5 practices; stop, escalate and decommission if found</v>
      </c>
      <c r="G127" s="80" t="str">
        <f>INDEX(Framework_Map!$D$5:$D$28,MATCH(E127,Framework_Map!$A$5:$A$28,0))</f>
        <v>Art. 5</v>
      </c>
      <c r="H127" s="80" t="str">
        <f>INDEX(Framework_Map!$E$5:$E$28,MATCH(E127,Framework_Map!$A$5:$A$28,0))</f>
        <v>GOVERN 1.1</v>
      </c>
      <c r="I127" s="80" t="str">
        <f>INDEX(Framework_Map!$F$5:$F$28,MATCH(E127,Framework_Map!$A$5:$A$28,0))</f>
        <v>Cl. 4.2; A.9.3</v>
      </c>
      <c r="J127" s="80" t="s">
        <v>85</v>
      </c>
      <c r="K127" s="80" t="s">
        <v>1418</v>
      </c>
      <c r="L127" s="80" t="s">
        <v>1203</v>
      </c>
      <c r="M127" s="82">
        <v>0.9</v>
      </c>
      <c r="N127" s="83">
        <f>IF(J127="Implemented",1,IF(J127="Partially Implemented",Config!$B$13,0))</f>
        <v>0.5</v>
      </c>
      <c r="O127" s="81">
        <v>46268</v>
      </c>
      <c r="P127" s="80" t="s">
        <v>1222</v>
      </c>
    </row>
    <row r="128" spans="1:16" ht="26.4" x14ac:dyDescent="0.3">
      <c r="A128" s="80" t="s">
        <v>1419</v>
      </c>
      <c r="B128" s="80" t="s">
        <v>1141</v>
      </c>
      <c r="C128" s="80" t="str">
        <f>INDEX(Syn_AI_Inventory!$B$5:$B$34,MATCH(B128,Syn_AI_Inventory!$A$5:$A$34,0))</f>
        <v>Video Interview Analyser</v>
      </c>
      <c r="D128" s="80" t="str">
        <f>INDEX(Syn_Tiering!$Q$5:$Q$34,MATCH(B128,Syn_Tiering!$A$5:$A$34,0))</f>
        <v>T0 - Stop</v>
      </c>
      <c r="E128" s="80" t="s">
        <v>777</v>
      </c>
      <c r="F128" s="80" t="str">
        <f>INDEX(Framework_Map!$C$5:$C$28,MATCH(E128,Framework_Map!$A$5:$A$28,0))</f>
        <v>Maintain AI system inventory with documented risk classification</v>
      </c>
      <c r="G128" s="80" t="str">
        <f>INDEX(Framework_Map!$D$5:$D$28,MATCH(E128,Framework_Map!$A$5:$A$28,0))</f>
        <v>Art. 6, Annex III; Art. 49 (registration)</v>
      </c>
      <c r="H128" s="80" t="str">
        <f>INDEX(Framework_Map!$E$5:$E$28,MATCH(E128,Framework_Map!$A$5:$A$28,0))</f>
        <v>GOVERN 1.6</v>
      </c>
      <c r="I128" s="80" t="str">
        <f>INDEX(Framework_Map!$F$5:$F$28,MATCH(E128,Framework_Map!$A$5:$A$28,0))</f>
        <v>Cl. 4.3; A.4.2</v>
      </c>
      <c r="J128" s="80" t="s">
        <v>87</v>
      </c>
      <c r="K128" s="80" t="s">
        <v>650</v>
      </c>
      <c r="L128" s="80" t="s">
        <v>1203</v>
      </c>
      <c r="M128" s="82">
        <v>0.81</v>
      </c>
      <c r="N128" s="83">
        <f>IF(J128="Implemented",1,IF(J128="Partially Implemented",Config!$B$13,0))</f>
        <v>0</v>
      </c>
      <c r="O128" s="81">
        <v>46285</v>
      </c>
      <c r="P128" s="80" t="s">
        <v>1233</v>
      </c>
    </row>
    <row r="129" spans="1:16" ht="26.4" x14ac:dyDescent="0.3">
      <c r="A129" s="80" t="s">
        <v>1420</v>
      </c>
      <c r="B129" s="80" t="s">
        <v>1145</v>
      </c>
      <c r="C129" s="80" t="str">
        <f>INDEX(Syn_AI_Inventory!$B$5:$B$34,MATCH(B129,Syn_AI_Inventory!$A$5:$A$34,0))</f>
        <v>Test Data Synthesiser</v>
      </c>
      <c r="D129" s="80" t="str">
        <f>INDEX(Syn_Tiering!$Q$5:$Q$34,MATCH(B129,Syn_Tiering!$A$5:$A$34,0))</f>
        <v>T3 - Standard</v>
      </c>
      <c r="E129" s="80" t="s">
        <v>777</v>
      </c>
      <c r="F129" s="80" t="str">
        <f>INDEX(Framework_Map!$C$5:$C$28,MATCH(E129,Framework_Map!$A$5:$A$28,0))</f>
        <v>Maintain AI system inventory with documented risk classification</v>
      </c>
      <c r="G129" s="80" t="str">
        <f>INDEX(Framework_Map!$D$5:$D$28,MATCH(E129,Framework_Map!$A$5:$A$28,0))</f>
        <v>Art. 6, Annex III; Art. 49 (registration)</v>
      </c>
      <c r="H129" s="80" t="str">
        <f>INDEX(Framework_Map!$E$5:$E$28,MATCH(E129,Framework_Map!$A$5:$A$28,0))</f>
        <v>GOVERN 1.6</v>
      </c>
      <c r="I129" s="80" t="str">
        <f>INDEX(Framework_Map!$F$5:$F$28,MATCH(E129,Framework_Map!$A$5:$A$28,0))</f>
        <v>Cl. 4.3; A.4.2</v>
      </c>
      <c r="J129" s="80" t="s">
        <v>85</v>
      </c>
      <c r="K129" s="80" t="s">
        <v>1421</v>
      </c>
      <c r="L129" s="80" t="s">
        <v>1200</v>
      </c>
      <c r="M129" s="82">
        <v>0.7</v>
      </c>
      <c r="N129" s="83">
        <f>IF(J129="Implemented",1,IF(J129="Partially Implemented",Config!$B$13,0))</f>
        <v>0.5</v>
      </c>
      <c r="O129" s="81">
        <v>46278</v>
      </c>
      <c r="P129" s="80" t="s">
        <v>1212</v>
      </c>
    </row>
    <row r="130" spans="1:16" ht="26.4" x14ac:dyDescent="0.3">
      <c r="A130" s="80" t="s">
        <v>1422</v>
      </c>
      <c r="B130" s="80" t="s">
        <v>1145</v>
      </c>
      <c r="C130" s="80" t="str">
        <f>INDEX(Syn_AI_Inventory!$B$5:$B$34,MATCH(B130,Syn_AI_Inventory!$A$5:$A$34,0))</f>
        <v>Test Data Synthesiser</v>
      </c>
      <c r="D130" s="80" t="str">
        <f>INDEX(Syn_Tiering!$Q$5:$Q$34,MATCH(B130,Syn_Tiering!$A$5:$A$34,0))</f>
        <v>T3 - Standard</v>
      </c>
      <c r="E130" s="80" t="s">
        <v>909</v>
      </c>
      <c r="F130" s="80" t="str">
        <f>INDEX(Framework_Map!$C$5:$C$28,MATCH(E130,Framework_Map!$A$5:$A$28,0))</f>
        <v>AI literacy / role-based training</v>
      </c>
      <c r="G130" s="80" t="str">
        <f>INDEX(Framework_Map!$D$5:$D$28,MATCH(E130,Framework_Map!$A$5:$A$28,0))</f>
        <v>Art. 4 (verify wording post-Omnibus)</v>
      </c>
      <c r="H130" s="80" t="str">
        <f>INDEX(Framework_Map!$E$5:$E$28,MATCH(E130,Framework_Map!$A$5:$A$28,0))</f>
        <v>GOVERN 2.2</v>
      </c>
      <c r="I130" s="80" t="str">
        <f>INDEX(Framework_Map!$F$5:$F$28,MATCH(E130,Framework_Map!$A$5:$A$28,0))</f>
        <v>Cl. 7.2, 7.3; A.4.6</v>
      </c>
      <c r="J130" s="80" t="s">
        <v>84</v>
      </c>
      <c r="K130" s="80" t="s">
        <v>1423</v>
      </c>
      <c r="L130" s="80" t="s">
        <v>1203</v>
      </c>
      <c r="M130" s="82">
        <v>0.72</v>
      </c>
      <c r="N130" s="83">
        <f>IF(J130="Implemented",1,IF(J130="Partially Implemented",Config!$B$13,0))</f>
        <v>1</v>
      </c>
      <c r="O130" s="81">
        <v>46279</v>
      </c>
      <c r="P130" s="80" t="s">
        <v>1209</v>
      </c>
    </row>
    <row r="131" spans="1:16" ht="26.4" x14ac:dyDescent="0.3">
      <c r="A131" s="80" t="s">
        <v>1424</v>
      </c>
      <c r="B131" s="80" t="s">
        <v>1149</v>
      </c>
      <c r="C131" s="80" t="str">
        <f>INDEX(Syn_AI_Inventory!$B$5:$B$34,MATCH(B131,Syn_AI_Inventory!$A$5:$A$34,0))</f>
        <v>HR Policy Chatbot (pilot)</v>
      </c>
      <c r="D131" s="80" t="str">
        <f>INDEX(Syn_Tiering!$Q$5:$Q$34,MATCH(B131,Syn_Tiering!$A$5:$A$34,0))</f>
        <v>T2 - Elevated</v>
      </c>
      <c r="E131" s="80" t="s">
        <v>777</v>
      </c>
      <c r="F131" s="80" t="str">
        <f>INDEX(Framework_Map!$C$5:$C$28,MATCH(E131,Framework_Map!$A$5:$A$28,0))</f>
        <v>Maintain AI system inventory with documented risk classification</v>
      </c>
      <c r="G131" s="80" t="str">
        <f>INDEX(Framework_Map!$D$5:$D$28,MATCH(E131,Framework_Map!$A$5:$A$28,0))</f>
        <v>Art. 6, Annex III; Art. 49 (registration)</v>
      </c>
      <c r="H131" s="80" t="str">
        <f>INDEX(Framework_Map!$E$5:$E$28,MATCH(E131,Framework_Map!$A$5:$A$28,0))</f>
        <v>GOVERN 1.6</v>
      </c>
      <c r="I131" s="80" t="str">
        <f>INDEX(Framework_Map!$F$5:$F$28,MATCH(E131,Framework_Map!$A$5:$A$28,0))</f>
        <v>Cl. 4.3; A.4.2</v>
      </c>
      <c r="J131" s="80" t="s">
        <v>87</v>
      </c>
      <c r="K131" s="80" t="s">
        <v>650</v>
      </c>
      <c r="L131" s="80" t="s">
        <v>1203</v>
      </c>
      <c r="M131" s="82">
        <v>0.94</v>
      </c>
      <c r="N131" s="83">
        <f>IF(J131="Implemented",1,IF(J131="Partially Implemented",Config!$B$13,0))</f>
        <v>0</v>
      </c>
      <c r="O131" s="81">
        <v>46286</v>
      </c>
      <c r="P131" s="80" t="s">
        <v>1233</v>
      </c>
    </row>
    <row r="132" spans="1:16" ht="26.4" x14ac:dyDescent="0.3">
      <c r="A132" s="80" t="s">
        <v>1425</v>
      </c>
      <c r="B132" s="80" t="s">
        <v>1149</v>
      </c>
      <c r="C132" s="80" t="str">
        <f>INDEX(Syn_AI_Inventory!$B$5:$B$34,MATCH(B132,Syn_AI_Inventory!$A$5:$A$34,0))</f>
        <v>HR Policy Chatbot (pilot)</v>
      </c>
      <c r="D132" s="80" t="str">
        <f>INDEX(Syn_Tiering!$Q$5:$Q$34,MATCH(B132,Syn_Tiering!$A$5:$A$34,0))</f>
        <v>T2 - Elevated</v>
      </c>
      <c r="E132" s="80" t="s">
        <v>895</v>
      </c>
      <c r="F132" s="80" t="str">
        <f>INDEX(Framework_Map!$C$5:$C$28,MATCH(E132,Framework_Map!$A$5:$A$28,0))</f>
        <v>Disclose AI interaction; mark synthetic content; inform on emotion recognition</v>
      </c>
      <c r="G132" s="80" t="str">
        <f>INDEX(Framework_Map!$D$5:$D$28,MATCH(E132,Framework_Map!$A$5:$A$28,0))</f>
        <v>Art. 50</v>
      </c>
      <c r="H132" s="80" t="str">
        <f>INDEX(Framework_Map!$E$5:$E$28,MATCH(E132,Framework_Map!$A$5:$A$28,0))</f>
        <v>MEASURE 2.8</v>
      </c>
      <c r="I132" s="80" t="str">
        <f>INDEX(Framework_Map!$F$5:$F$28,MATCH(E132,Framework_Map!$A$5:$A$28,0))</f>
        <v>A.8.5; A.8.2</v>
      </c>
      <c r="J132" s="80" t="s">
        <v>84</v>
      </c>
      <c r="K132" s="80" t="s">
        <v>1426</v>
      </c>
      <c r="L132" s="80" t="s">
        <v>1200</v>
      </c>
      <c r="M132" s="82">
        <v>0.65</v>
      </c>
      <c r="N132" s="83">
        <f>IF(J132="Implemented",1,IF(J132="Partially Implemented",Config!$B$13,0))</f>
        <v>1</v>
      </c>
      <c r="O132" s="81">
        <v>46271</v>
      </c>
      <c r="P132" s="80" t="s">
        <v>1209</v>
      </c>
    </row>
    <row r="133" spans="1:16" ht="26.4" x14ac:dyDescent="0.3">
      <c r="A133" s="80" t="s">
        <v>1427</v>
      </c>
      <c r="B133" s="80" t="s">
        <v>1149</v>
      </c>
      <c r="C133" s="80" t="str">
        <f>INDEX(Syn_AI_Inventory!$B$5:$B$34,MATCH(B133,Syn_AI_Inventory!$A$5:$A$34,0))</f>
        <v>HR Policy Chatbot (pilot)</v>
      </c>
      <c r="D133" s="80" t="str">
        <f>INDEX(Syn_Tiering!$Q$5:$Q$34,MATCH(B133,Syn_Tiering!$A$5:$A$34,0))</f>
        <v>T2 - Elevated</v>
      </c>
      <c r="E133" s="80" t="s">
        <v>901</v>
      </c>
      <c r="F133" s="80" t="str">
        <f>INDEX(Framework_Map!$C$5:$C$28,MATCH(E133,Framework_Map!$A$5:$A$28,0))</f>
        <v>Supply-chain AI risk: supplier documentation, contracts, responsibilities</v>
      </c>
      <c r="G133" s="80" t="str">
        <f>INDEX(Framework_Map!$D$5:$D$28,MATCH(E133,Framework_Map!$A$5:$A$28,0))</f>
        <v>Art. 25</v>
      </c>
      <c r="H133" s="80" t="str">
        <f>INDEX(Framework_Map!$E$5:$E$28,MATCH(E133,Framework_Map!$A$5:$A$28,0))</f>
        <v>GOVERN 6.1, MAP 4.1</v>
      </c>
      <c r="I133" s="80" t="str">
        <f>INDEX(Framework_Map!$F$5:$F$28,MATCH(E133,Framework_Map!$A$5:$A$28,0))</f>
        <v>A.10.2, A.10.3</v>
      </c>
      <c r="J133" s="80" t="s">
        <v>85</v>
      </c>
      <c r="K133" s="80" t="s">
        <v>1428</v>
      </c>
      <c r="L133" s="80" t="s">
        <v>1203</v>
      </c>
      <c r="M133" s="82">
        <v>0.62</v>
      </c>
      <c r="N133" s="83">
        <f>IF(J133="Implemented",1,IF(J133="Partially Implemented",Config!$B$13,0))</f>
        <v>0.5</v>
      </c>
      <c r="O133" s="81">
        <v>46288</v>
      </c>
      <c r="P133" s="80" t="s">
        <v>1263</v>
      </c>
    </row>
    <row r="134" spans="1:16" x14ac:dyDescent="0.3">
      <c r="A134" s="80" t="s">
        <v>1429</v>
      </c>
      <c r="B134" s="80" t="s">
        <v>1149</v>
      </c>
      <c r="C134" s="80" t="str">
        <f>INDEX(Syn_AI_Inventory!$B$5:$B$34,MATCH(B134,Syn_AI_Inventory!$A$5:$A$34,0))</f>
        <v>HR Policy Chatbot (pilot)</v>
      </c>
      <c r="D134" s="80" t="str">
        <f>INDEX(Syn_Tiering!$Q$5:$Q$34,MATCH(B134,Syn_Tiering!$A$5:$A$34,0))</f>
        <v>T2 - Elevated</v>
      </c>
      <c r="E134" s="80" t="s">
        <v>944</v>
      </c>
      <c r="F134" s="80" t="str">
        <f>INDEX(Framework_Map!$C$5:$C$28,MATCH(E134,Framework_Map!$A$5:$A$28,0))</f>
        <v>Corrective action and lessons-learned loop</v>
      </c>
      <c r="G134" s="80" t="str">
        <f>INDEX(Framework_Map!$D$5:$D$28,MATCH(E134,Framework_Map!$A$5:$A$28,0))</f>
        <v>—</v>
      </c>
      <c r="H134" s="80" t="str">
        <f>INDEX(Framework_Map!$E$5:$E$28,MATCH(E134,Framework_Map!$A$5:$A$28,0))</f>
        <v>MANAGE 4.2</v>
      </c>
      <c r="I134" s="80" t="str">
        <f>INDEX(Framework_Map!$F$5:$F$28,MATCH(E134,Framework_Map!$A$5:$A$28,0))</f>
        <v>Cl. 10.1, 10.2</v>
      </c>
      <c r="J134" s="80" t="s">
        <v>85</v>
      </c>
      <c r="K134" s="80" t="s">
        <v>1430</v>
      </c>
      <c r="L134" s="80" t="s">
        <v>1203</v>
      </c>
      <c r="M134" s="82">
        <v>0.63</v>
      </c>
      <c r="N134" s="83">
        <f>IF(J134="Implemented",1,IF(J134="Partially Implemented",Config!$B$13,0))</f>
        <v>0.5</v>
      </c>
      <c r="O134" s="81">
        <v>46288</v>
      </c>
      <c r="P134" s="80" t="s">
        <v>1222</v>
      </c>
    </row>
  </sheetData>
  <conditionalFormatting sqref="J5:J134">
    <cfRule type="cellIs" dxfId="6" priority="2" operator="equal">
      <formula>"Implemented"</formula>
    </cfRule>
    <cfRule type="cellIs" dxfId="5" priority="3" operator="equal">
      <formula>"Partially Implemented"</formula>
    </cfRule>
    <cfRule type="cellIs" dxfId="4" priority="4" operator="equal">
      <formula>"Not Implemented"</formula>
    </cfRule>
    <cfRule type="cellIs" dxfId="3" priority="5" operator="equal">
      <formula>"Not Assessed"</formula>
    </cfRule>
  </conditionalFormatting>
  <dataValidations count="1">
    <dataValidation type="list" allowBlank="1" sqref="J5:J134" xr:uid="{00000000-0002-0000-0C00-000000000000}">
      <formula1>"Implemented,Partially Implemented,Not Implemented,Not Assessed"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B050"/>
  </sheetPr>
  <dimension ref="A1:Q61"/>
  <sheetViews>
    <sheetView zoomScaleNormal="10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D54" sqref="D54"/>
    </sheetView>
  </sheetViews>
  <sheetFormatPr defaultColWidth="8.77734375" defaultRowHeight="14.4" x14ac:dyDescent="0.3"/>
  <cols>
    <col min="1" max="3" width="9" customWidth="1"/>
    <col min="4" max="4" width="28" customWidth="1"/>
    <col min="5" max="5" width="7" customWidth="1"/>
    <col min="6" max="6" width="22.109375" customWidth="1"/>
    <col min="7" max="7" width="53.88671875" customWidth="1"/>
    <col min="8" max="8" width="22.109375" customWidth="1"/>
    <col min="9" max="9" width="16" customWidth="1"/>
    <col min="10" max="10" width="7.88671875" customWidth="1"/>
    <col min="11" max="11" width="9" customWidth="1"/>
    <col min="12" max="13" width="12" customWidth="1"/>
    <col min="14" max="14" width="18" customWidth="1"/>
    <col min="15" max="15" width="11" customWidth="1"/>
    <col min="16" max="16" width="23.88671875" customWidth="1"/>
    <col min="17" max="17" width="7" customWidth="1"/>
  </cols>
  <sheetData>
    <row r="1" spans="1:17" ht="17.399999999999999" x14ac:dyDescent="0.3">
      <c r="A1" s="4" t="s">
        <v>1431</v>
      </c>
    </row>
    <row r="2" spans="1:17" x14ac:dyDescent="0.3">
      <c r="A2" s="5" t="s">
        <v>1432</v>
      </c>
    </row>
    <row r="4" spans="1:17" s="79" customFormat="1" ht="39.75" customHeight="1" x14ac:dyDescent="0.3">
      <c r="A4" s="78" t="s">
        <v>1433</v>
      </c>
      <c r="B4" s="78" t="s">
        <v>1188</v>
      </c>
      <c r="C4" s="78" t="s">
        <v>985</v>
      </c>
      <c r="D4" s="78" t="s">
        <v>986</v>
      </c>
      <c r="E4" s="78" t="s">
        <v>767</v>
      </c>
      <c r="F4" s="78" t="s">
        <v>1434</v>
      </c>
      <c r="G4" s="78" t="s">
        <v>1435</v>
      </c>
      <c r="H4" s="78" t="s">
        <v>1436</v>
      </c>
      <c r="I4" s="78" t="s">
        <v>1189</v>
      </c>
      <c r="J4" s="78" t="s">
        <v>71</v>
      </c>
      <c r="K4" s="78" t="s">
        <v>1437</v>
      </c>
      <c r="L4" s="78" t="s">
        <v>1438</v>
      </c>
      <c r="M4" s="78" t="s">
        <v>1439</v>
      </c>
      <c r="N4" s="78" t="s">
        <v>1440</v>
      </c>
      <c r="O4" s="78" t="s">
        <v>1441</v>
      </c>
      <c r="P4" s="78" t="s">
        <v>1442</v>
      </c>
      <c r="Q4" s="78" t="s">
        <v>1443</v>
      </c>
    </row>
    <row r="5" spans="1:17" ht="26.4" x14ac:dyDescent="0.3">
      <c r="A5" s="80" t="s">
        <v>1444</v>
      </c>
      <c r="B5" s="80" t="s">
        <v>1199</v>
      </c>
      <c r="C5" s="80" t="s">
        <v>1008</v>
      </c>
      <c r="D5" s="80" t="str">
        <f>INDEX(Syn_AI_Inventory!$B$5:$B$34,MATCH(C5,Syn_AI_Inventory!$A$5:$A$34,0))</f>
        <v>CV Screening Assistant</v>
      </c>
      <c r="E5" s="80" t="s">
        <v>794</v>
      </c>
      <c r="F5" s="80" t="s">
        <v>1445</v>
      </c>
      <c r="G5" s="80" t="s">
        <v>1446</v>
      </c>
      <c r="H5" s="80" t="s">
        <v>1447</v>
      </c>
      <c r="I5" s="80" t="str">
        <f>INDEX(Syn_Tiering!$Q$5:$Q$34,MATCH(C5,Syn_Tiering!$A$5:$A$34,0))</f>
        <v>T1 - Critical</v>
      </c>
      <c r="J5" s="80" t="str">
        <f>INDEX(Tier_Obligations!$C$5:$C$8,MATCH(I5,Tier_Obligations!$A$5:$A$8,0))</f>
        <v>P1</v>
      </c>
      <c r="K5" s="80">
        <f>INDEX(Tier_Obligations!$D$5:$D$8,MATCH(I5,Tier_Obligations!$A$5:$A$8,0))</f>
        <v>30</v>
      </c>
      <c r="L5" s="81">
        <v>46271</v>
      </c>
      <c r="M5" s="81">
        <f t="shared" ref="M5:M36" si="0">L5+K5</f>
        <v>46301</v>
      </c>
      <c r="N5" s="80" t="s">
        <v>1448</v>
      </c>
      <c r="O5" s="80" t="str">
        <f>IF(N5="Closed","Closed",IF(M5&lt;Config!$B$4,"Overdue","On track"))</f>
        <v>On track</v>
      </c>
      <c r="P5" s="80" t="s">
        <v>1449</v>
      </c>
      <c r="Q5" s="80" t="s">
        <v>1450</v>
      </c>
    </row>
    <row r="6" spans="1:17" ht="26.4" x14ac:dyDescent="0.3">
      <c r="A6" s="80" t="s">
        <v>1451</v>
      </c>
      <c r="B6" s="80" t="s">
        <v>1202</v>
      </c>
      <c r="C6" s="80" t="s">
        <v>1008</v>
      </c>
      <c r="D6" s="80" t="str">
        <f>INDEX(Syn_AI_Inventory!$B$5:$B$34,MATCH(C6,Syn_AI_Inventory!$A$5:$A$34,0))</f>
        <v>CV Screening Assistant</v>
      </c>
      <c r="E6" s="80" t="s">
        <v>802</v>
      </c>
      <c r="F6" s="80" t="s">
        <v>1445</v>
      </c>
      <c r="G6" s="80" t="s">
        <v>1452</v>
      </c>
      <c r="H6" s="80" t="s">
        <v>1453</v>
      </c>
      <c r="I6" s="80" t="str">
        <f>INDEX(Syn_Tiering!$Q$5:$Q$34,MATCH(C6,Syn_Tiering!$A$5:$A$34,0))</f>
        <v>T1 - Critical</v>
      </c>
      <c r="J6" s="80" t="str">
        <f>INDEX(Tier_Obligations!$C$5:$C$8,MATCH(I6,Tier_Obligations!$A$5:$A$8,0))</f>
        <v>P1</v>
      </c>
      <c r="K6" s="80">
        <f>INDEX(Tier_Obligations!$D$5:$D$8,MATCH(I6,Tier_Obligations!$A$5:$A$8,0))</f>
        <v>30</v>
      </c>
      <c r="L6" s="81">
        <v>46255</v>
      </c>
      <c r="M6" s="81">
        <f t="shared" si="0"/>
        <v>46285</v>
      </c>
      <c r="N6" s="80" t="s">
        <v>1454</v>
      </c>
      <c r="O6" s="80" t="str">
        <f>IF(N6="Closed","Closed",IF(M6&lt;Config!$B$4,"Overdue","On track"))</f>
        <v>Closed</v>
      </c>
      <c r="P6" s="80" t="s">
        <v>1449</v>
      </c>
      <c r="Q6" s="80" t="s">
        <v>1450</v>
      </c>
    </row>
    <row r="7" spans="1:17" ht="26.4" x14ac:dyDescent="0.3">
      <c r="A7" s="80" t="s">
        <v>1455</v>
      </c>
      <c r="B7" s="80" t="s">
        <v>1204</v>
      </c>
      <c r="C7" s="80" t="s">
        <v>1008</v>
      </c>
      <c r="D7" s="80" t="str">
        <f>INDEX(Syn_AI_Inventory!$B$5:$B$34,MATCH(C7,Syn_AI_Inventory!$A$5:$A$34,0))</f>
        <v>CV Screening Assistant</v>
      </c>
      <c r="E7" s="80" t="s">
        <v>810</v>
      </c>
      <c r="F7" s="80" t="s">
        <v>1456</v>
      </c>
      <c r="G7" s="80" t="s">
        <v>1457</v>
      </c>
      <c r="H7" s="80" t="s">
        <v>987</v>
      </c>
      <c r="I7" s="80" t="str">
        <f>INDEX(Syn_Tiering!$Q$5:$Q$34,MATCH(C7,Syn_Tiering!$A$5:$A$34,0))</f>
        <v>T1 - Critical</v>
      </c>
      <c r="J7" s="80" t="str">
        <f>INDEX(Tier_Obligations!$C$5:$C$8,MATCH(I7,Tier_Obligations!$A$5:$A$8,0))</f>
        <v>P1</v>
      </c>
      <c r="K7" s="80">
        <f>INDEX(Tier_Obligations!$D$5:$D$8,MATCH(I7,Tier_Obligations!$A$5:$A$8,0))</f>
        <v>30</v>
      </c>
      <c r="L7" s="81">
        <v>46250</v>
      </c>
      <c r="M7" s="81">
        <f t="shared" si="0"/>
        <v>46280</v>
      </c>
      <c r="N7" s="80" t="s">
        <v>1454</v>
      </c>
      <c r="O7" s="80" t="str">
        <f>IF(N7="Closed","Closed",IF(M7&lt;Config!$B$4,"Overdue","On track"))</f>
        <v>Closed</v>
      </c>
      <c r="P7" s="80" t="s">
        <v>1449</v>
      </c>
      <c r="Q7" s="80" t="s">
        <v>1458</v>
      </c>
    </row>
    <row r="8" spans="1:17" ht="26.4" x14ac:dyDescent="0.3">
      <c r="A8" s="80" t="s">
        <v>1459</v>
      </c>
      <c r="B8" s="80" t="s">
        <v>1213</v>
      </c>
      <c r="C8" s="80" t="s">
        <v>1008</v>
      </c>
      <c r="D8" s="80" t="str">
        <f>INDEX(Syn_AI_Inventory!$B$5:$B$34,MATCH(C8,Syn_AI_Inventory!$A$5:$A$34,0))</f>
        <v>CV Screening Assistant</v>
      </c>
      <c r="E8" s="80" t="s">
        <v>881</v>
      </c>
      <c r="F8" s="80" t="s">
        <v>1445</v>
      </c>
      <c r="G8" s="80" t="s">
        <v>1460</v>
      </c>
      <c r="H8" s="80" t="s">
        <v>1461</v>
      </c>
      <c r="I8" s="80" t="str">
        <f>INDEX(Syn_Tiering!$Q$5:$Q$34,MATCH(C8,Syn_Tiering!$A$5:$A$34,0))</f>
        <v>T1 - Critical</v>
      </c>
      <c r="J8" s="80" t="str">
        <f>INDEX(Tier_Obligations!$C$5:$C$8,MATCH(I8,Tier_Obligations!$A$5:$A$8,0))</f>
        <v>P1</v>
      </c>
      <c r="K8" s="80">
        <f>INDEX(Tier_Obligations!$D$5:$D$8,MATCH(I8,Tier_Obligations!$A$5:$A$8,0))</f>
        <v>30</v>
      </c>
      <c r="L8" s="81">
        <v>46276</v>
      </c>
      <c r="M8" s="81">
        <f t="shared" si="0"/>
        <v>46306</v>
      </c>
      <c r="N8" s="80" t="s">
        <v>1448</v>
      </c>
      <c r="O8" s="80" t="str">
        <f>IF(N8="Closed","Closed",IF(M8&lt;Config!$B$4,"Overdue","On track"))</f>
        <v>On track</v>
      </c>
      <c r="P8" s="80" t="s">
        <v>1449</v>
      </c>
      <c r="Q8" s="80" t="s">
        <v>1450</v>
      </c>
    </row>
    <row r="9" spans="1:17" ht="26.4" x14ac:dyDescent="0.3">
      <c r="A9" s="80" t="s">
        <v>1462</v>
      </c>
      <c r="B9" s="80" t="s">
        <v>1220</v>
      </c>
      <c r="C9" s="80" t="s">
        <v>1020</v>
      </c>
      <c r="D9" s="80" t="str">
        <f>INDEX(Syn_AI_Inventory!$B$5:$B$34,MATCH(C9,Syn_AI_Inventory!$A$5:$A$34,0))</f>
        <v>Retail Credit Scoring Model</v>
      </c>
      <c r="E9" s="80" t="s">
        <v>802</v>
      </c>
      <c r="F9" s="80" t="s">
        <v>1456</v>
      </c>
      <c r="G9" s="80" t="s">
        <v>1452</v>
      </c>
      <c r="H9" s="80" t="s">
        <v>1453</v>
      </c>
      <c r="I9" s="80" t="str">
        <f>INDEX(Syn_Tiering!$Q$5:$Q$34,MATCH(C9,Syn_Tiering!$A$5:$A$34,0))</f>
        <v>T1 - Critical</v>
      </c>
      <c r="J9" s="80" t="str">
        <f>INDEX(Tier_Obligations!$C$5:$C$8,MATCH(I9,Tier_Obligations!$A$5:$A$8,0))</f>
        <v>P1</v>
      </c>
      <c r="K9" s="80">
        <f>INDEX(Tier_Obligations!$D$5:$D$8,MATCH(I9,Tier_Obligations!$A$5:$A$8,0))</f>
        <v>30</v>
      </c>
      <c r="L9" s="81">
        <v>46283</v>
      </c>
      <c r="M9" s="81">
        <f t="shared" si="0"/>
        <v>46313</v>
      </c>
      <c r="N9" s="80" t="s">
        <v>1463</v>
      </c>
      <c r="O9" s="80" t="str">
        <f>IF(N9="Closed","Closed",IF(M9&lt;Config!$B$4,"Overdue","On track"))</f>
        <v>On track</v>
      </c>
      <c r="P9" s="80" t="s">
        <v>1449</v>
      </c>
      <c r="Q9" s="80" t="s">
        <v>1450</v>
      </c>
    </row>
    <row r="10" spans="1:17" ht="26.4" x14ac:dyDescent="0.3">
      <c r="A10" s="80" t="s">
        <v>1464</v>
      </c>
      <c r="B10" s="80" t="s">
        <v>1225</v>
      </c>
      <c r="C10" s="80" t="s">
        <v>1020</v>
      </c>
      <c r="D10" s="80" t="str">
        <f>INDEX(Syn_AI_Inventory!$B$5:$B$34,MATCH(C10,Syn_AI_Inventory!$A$5:$A$34,0))</f>
        <v>Retail Credit Scoring Model</v>
      </c>
      <c r="E10" s="80" t="s">
        <v>826</v>
      </c>
      <c r="F10" s="80" t="s">
        <v>1456</v>
      </c>
      <c r="G10" s="80" t="s">
        <v>1465</v>
      </c>
      <c r="H10" s="80" t="s">
        <v>987</v>
      </c>
      <c r="I10" s="80" t="str">
        <f>INDEX(Syn_Tiering!$Q$5:$Q$34,MATCH(C10,Syn_Tiering!$A$5:$A$34,0))</f>
        <v>T1 - Critical</v>
      </c>
      <c r="J10" s="80" t="str">
        <f>INDEX(Tier_Obligations!$C$5:$C$8,MATCH(I10,Tier_Obligations!$A$5:$A$8,0))</f>
        <v>P1</v>
      </c>
      <c r="K10" s="80">
        <f>INDEX(Tier_Obligations!$D$5:$D$8,MATCH(I10,Tier_Obligations!$A$5:$A$8,0))</f>
        <v>30</v>
      </c>
      <c r="L10" s="81">
        <v>46240</v>
      </c>
      <c r="M10" s="81">
        <f t="shared" si="0"/>
        <v>46270</v>
      </c>
      <c r="N10" s="80" t="s">
        <v>1463</v>
      </c>
      <c r="O10" s="80" t="str">
        <f>IF(N10="Closed","Closed",IF(M10&lt;Config!$B$4,"Overdue","On track"))</f>
        <v>Overdue</v>
      </c>
      <c r="P10" s="80" t="s">
        <v>1449</v>
      </c>
      <c r="Q10" s="80" t="s">
        <v>1466</v>
      </c>
    </row>
    <row r="11" spans="1:17" ht="26.4" x14ac:dyDescent="0.3">
      <c r="A11" s="80" t="s">
        <v>1467</v>
      </c>
      <c r="B11" s="80" t="s">
        <v>1231</v>
      </c>
      <c r="C11" s="80" t="s">
        <v>1020</v>
      </c>
      <c r="D11" s="80" t="str">
        <f>INDEX(Syn_AI_Inventory!$B$5:$B$34,MATCH(C11,Syn_AI_Inventory!$A$5:$A$34,0))</f>
        <v>Retail Credit Scoring Model</v>
      </c>
      <c r="E11" s="80" t="s">
        <v>901</v>
      </c>
      <c r="F11" s="80" t="s">
        <v>1445</v>
      </c>
      <c r="G11" s="80" t="s">
        <v>1468</v>
      </c>
      <c r="H11" s="80" t="s">
        <v>1469</v>
      </c>
      <c r="I11" s="80" t="str">
        <f>INDEX(Syn_Tiering!$Q$5:$Q$34,MATCH(C11,Syn_Tiering!$A$5:$A$34,0))</f>
        <v>T1 - Critical</v>
      </c>
      <c r="J11" s="80" t="str">
        <f>INDEX(Tier_Obligations!$C$5:$C$8,MATCH(I11,Tier_Obligations!$A$5:$A$8,0))</f>
        <v>P1</v>
      </c>
      <c r="K11" s="80">
        <f>INDEX(Tier_Obligations!$D$5:$D$8,MATCH(I11,Tier_Obligations!$A$5:$A$8,0))</f>
        <v>30</v>
      </c>
      <c r="L11" s="81">
        <v>46250</v>
      </c>
      <c r="M11" s="81">
        <f t="shared" si="0"/>
        <v>46280</v>
      </c>
      <c r="N11" s="80" t="s">
        <v>1448</v>
      </c>
      <c r="O11" s="80" t="str">
        <f>IF(N11="Closed","Closed",IF(M11&lt;Config!$B$4,"Overdue","On track"))</f>
        <v>Overdue</v>
      </c>
      <c r="P11" s="80" t="s">
        <v>1449</v>
      </c>
      <c r="Q11" s="80" t="s">
        <v>1458</v>
      </c>
    </row>
    <row r="12" spans="1:17" ht="26.4" x14ac:dyDescent="0.3">
      <c r="A12" s="80" t="s">
        <v>1470</v>
      </c>
      <c r="B12" s="80" t="s">
        <v>1238</v>
      </c>
      <c r="C12" s="80" t="s">
        <v>1028</v>
      </c>
      <c r="D12" s="80" t="str">
        <f>INDEX(Syn_AI_Inventory!$B$5:$B$34,MATCH(C12,Syn_AI_Inventory!$A$5:$A$34,0))</f>
        <v>Aria Customer Service Chatbot</v>
      </c>
      <c r="E12" s="80" t="s">
        <v>901</v>
      </c>
      <c r="F12" s="80" t="s">
        <v>1445</v>
      </c>
      <c r="G12" s="80" t="s">
        <v>1468</v>
      </c>
      <c r="H12" s="80" t="s">
        <v>1469</v>
      </c>
      <c r="I12" s="80" t="str">
        <f>INDEX(Syn_Tiering!$Q$5:$Q$34,MATCH(C12,Syn_Tiering!$A$5:$A$34,0))</f>
        <v>T2 - Elevated</v>
      </c>
      <c r="J12" s="80" t="str">
        <f>INDEX(Tier_Obligations!$C$5:$C$8,MATCH(I12,Tier_Obligations!$A$5:$A$8,0))</f>
        <v>P2</v>
      </c>
      <c r="K12" s="80">
        <f>INDEX(Tier_Obligations!$D$5:$D$8,MATCH(I12,Tier_Obligations!$A$5:$A$8,0))</f>
        <v>60</v>
      </c>
      <c r="L12" s="81">
        <v>46281</v>
      </c>
      <c r="M12" s="81">
        <f t="shared" si="0"/>
        <v>46341</v>
      </c>
      <c r="N12" s="80" t="s">
        <v>1448</v>
      </c>
      <c r="O12" s="80" t="str">
        <f>IF(N12="Closed","Closed",IF(M12&lt;Config!$B$4,"Overdue","On track"))</f>
        <v>On track</v>
      </c>
      <c r="P12" s="80" t="s">
        <v>1471</v>
      </c>
      <c r="Q12" s="80" t="s">
        <v>1450</v>
      </c>
    </row>
    <row r="13" spans="1:17" x14ac:dyDescent="0.3">
      <c r="A13" s="80" t="s">
        <v>1472</v>
      </c>
      <c r="B13" s="80" t="s">
        <v>1239</v>
      </c>
      <c r="C13" s="80" t="s">
        <v>1028</v>
      </c>
      <c r="D13" s="80" t="str">
        <f>INDEX(Syn_AI_Inventory!$B$5:$B$34,MATCH(C13,Syn_AI_Inventory!$A$5:$A$34,0))</f>
        <v>Aria Customer Service Chatbot</v>
      </c>
      <c r="E13" s="80" t="s">
        <v>944</v>
      </c>
      <c r="F13" s="80" t="s">
        <v>1456</v>
      </c>
      <c r="G13" s="80" t="s">
        <v>1473</v>
      </c>
      <c r="H13" s="80" t="s">
        <v>1474</v>
      </c>
      <c r="I13" s="80" t="str">
        <f>INDEX(Syn_Tiering!$Q$5:$Q$34,MATCH(C13,Syn_Tiering!$A$5:$A$34,0))</f>
        <v>T2 - Elevated</v>
      </c>
      <c r="J13" s="80" t="str">
        <f>INDEX(Tier_Obligations!$C$5:$C$8,MATCH(I13,Tier_Obligations!$A$5:$A$8,0))</f>
        <v>P2</v>
      </c>
      <c r="K13" s="80">
        <f>INDEX(Tier_Obligations!$D$5:$D$8,MATCH(I13,Tier_Obligations!$A$5:$A$8,0))</f>
        <v>60</v>
      </c>
      <c r="L13" s="81">
        <v>46254</v>
      </c>
      <c r="M13" s="81">
        <f t="shared" si="0"/>
        <v>46314</v>
      </c>
      <c r="N13" s="80" t="s">
        <v>1475</v>
      </c>
      <c r="O13" s="80" t="str">
        <f>IF(N13="Closed","Closed",IF(M13&lt;Config!$B$4,"Overdue","On track"))</f>
        <v>On track</v>
      </c>
      <c r="P13" s="80" t="s">
        <v>1449</v>
      </c>
      <c r="Q13" s="80" t="s">
        <v>1458</v>
      </c>
    </row>
    <row r="14" spans="1:17" ht="26.4" x14ac:dyDescent="0.3">
      <c r="A14" s="80" t="s">
        <v>1476</v>
      </c>
      <c r="B14" s="80" t="s">
        <v>1251</v>
      </c>
      <c r="C14" s="80" t="s">
        <v>1040</v>
      </c>
      <c r="D14" s="80" t="str">
        <f>INDEX(Syn_AI_Inventory!$B$5:$B$34,MATCH(C14,Syn_AI_Inventory!$A$5:$A$34,0))</f>
        <v>Marketing Copy Generator</v>
      </c>
      <c r="E14" s="80" t="s">
        <v>944</v>
      </c>
      <c r="F14" s="80" t="s">
        <v>1445</v>
      </c>
      <c r="G14" s="80" t="s">
        <v>1473</v>
      </c>
      <c r="H14" s="80" t="s">
        <v>1474</v>
      </c>
      <c r="I14" s="80" t="str">
        <f>INDEX(Syn_Tiering!$Q$5:$Q$34,MATCH(C14,Syn_Tiering!$A$5:$A$34,0))</f>
        <v>T2 - Elevated</v>
      </c>
      <c r="J14" s="80" t="str">
        <f>INDEX(Tier_Obligations!$C$5:$C$8,MATCH(I14,Tier_Obligations!$A$5:$A$8,0))</f>
        <v>P2</v>
      </c>
      <c r="K14" s="80">
        <f>INDEX(Tier_Obligations!$D$5:$D$8,MATCH(I14,Tier_Obligations!$A$5:$A$8,0))</f>
        <v>60</v>
      </c>
      <c r="L14" s="81">
        <v>46269</v>
      </c>
      <c r="M14" s="81">
        <f t="shared" si="0"/>
        <v>46329</v>
      </c>
      <c r="N14" s="80" t="s">
        <v>1448</v>
      </c>
      <c r="O14" s="80" t="str">
        <f>IF(N14="Closed","Closed",IF(M14&lt;Config!$B$4,"Overdue","On track"))</f>
        <v>On track</v>
      </c>
      <c r="P14" s="80" t="s">
        <v>1449</v>
      </c>
      <c r="Q14" s="80" t="s">
        <v>1458</v>
      </c>
    </row>
    <row r="15" spans="1:17" ht="26.4" x14ac:dyDescent="0.3">
      <c r="A15" s="80" t="s">
        <v>1477</v>
      </c>
      <c r="B15" s="80" t="s">
        <v>1252</v>
      </c>
      <c r="C15" s="80" t="s">
        <v>1047</v>
      </c>
      <c r="D15" s="80" t="str">
        <f>INDEX(Syn_AI_Inventory!$B$5:$B$34,MATCH(C15,Syn_AI_Inventory!$A$5:$A$34,0))</f>
        <v>Employee Performance Analytics</v>
      </c>
      <c r="E15" s="80" t="s">
        <v>794</v>
      </c>
      <c r="F15" s="80" t="s">
        <v>1445</v>
      </c>
      <c r="G15" s="80" t="s">
        <v>1446</v>
      </c>
      <c r="H15" s="80" t="s">
        <v>1447</v>
      </c>
      <c r="I15" s="80" t="str">
        <f>INDEX(Syn_Tiering!$Q$5:$Q$34,MATCH(C15,Syn_Tiering!$A$5:$A$34,0))</f>
        <v>T1 - Critical</v>
      </c>
      <c r="J15" s="80" t="str">
        <f>INDEX(Tier_Obligations!$C$5:$C$8,MATCH(I15,Tier_Obligations!$A$5:$A$8,0))</f>
        <v>P1</v>
      </c>
      <c r="K15" s="80">
        <f>INDEX(Tier_Obligations!$D$5:$D$8,MATCH(I15,Tier_Obligations!$A$5:$A$8,0))</f>
        <v>30</v>
      </c>
      <c r="L15" s="81">
        <v>46237</v>
      </c>
      <c r="M15" s="81">
        <f t="shared" si="0"/>
        <v>46267</v>
      </c>
      <c r="N15" s="80" t="s">
        <v>1475</v>
      </c>
      <c r="O15" s="80" t="str">
        <f>IF(N15="Closed","Closed",IF(M15&lt;Config!$B$4,"Overdue","On track"))</f>
        <v>Overdue</v>
      </c>
      <c r="P15" s="80" t="s">
        <v>1471</v>
      </c>
      <c r="Q15" s="80" t="s">
        <v>1450</v>
      </c>
    </row>
    <row r="16" spans="1:17" ht="26.4" x14ac:dyDescent="0.3">
      <c r="A16" s="80" t="s">
        <v>1478</v>
      </c>
      <c r="B16" s="80" t="s">
        <v>1254</v>
      </c>
      <c r="C16" s="80" t="s">
        <v>1047</v>
      </c>
      <c r="D16" s="80" t="str">
        <f>INDEX(Syn_AI_Inventory!$B$5:$B$34,MATCH(C16,Syn_AI_Inventory!$A$5:$A$34,0))</f>
        <v>Employee Performance Analytics</v>
      </c>
      <c r="E16" s="80" t="s">
        <v>818</v>
      </c>
      <c r="F16" s="80" t="s">
        <v>1445</v>
      </c>
      <c r="G16" s="80" t="s">
        <v>1479</v>
      </c>
      <c r="H16" s="80" t="s">
        <v>1480</v>
      </c>
      <c r="I16" s="80" t="str">
        <f>INDEX(Syn_Tiering!$Q$5:$Q$34,MATCH(C16,Syn_Tiering!$A$5:$A$34,0))</f>
        <v>T1 - Critical</v>
      </c>
      <c r="J16" s="80" t="str">
        <f>INDEX(Tier_Obligations!$C$5:$C$8,MATCH(I16,Tier_Obligations!$A$5:$A$8,0))</f>
        <v>P1</v>
      </c>
      <c r="K16" s="80">
        <f>INDEX(Tier_Obligations!$D$5:$D$8,MATCH(I16,Tier_Obligations!$A$5:$A$8,0))</f>
        <v>30</v>
      </c>
      <c r="L16" s="81">
        <v>46269</v>
      </c>
      <c r="M16" s="81">
        <f t="shared" si="0"/>
        <v>46299</v>
      </c>
      <c r="N16" s="80" t="s">
        <v>1463</v>
      </c>
      <c r="O16" s="80" t="str">
        <f>IF(N16="Closed","Closed",IF(M16&lt;Config!$B$4,"Overdue","On track"))</f>
        <v>On track</v>
      </c>
      <c r="P16" s="80" t="s">
        <v>1449</v>
      </c>
      <c r="Q16" s="80" t="s">
        <v>1466</v>
      </c>
    </row>
    <row r="17" spans="1:17" ht="26.4" x14ac:dyDescent="0.3">
      <c r="A17" s="80" t="s">
        <v>1481</v>
      </c>
      <c r="B17" s="80" t="s">
        <v>1261</v>
      </c>
      <c r="C17" s="80" t="s">
        <v>1047</v>
      </c>
      <c r="D17" s="80" t="str">
        <f>INDEX(Syn_AI_Inventory!$B$5:$B$34,MATCH(C17,Syn_AI_Inventory!$A$5:$A$34,0))</f>
        <v>Employee Performance Analytics</v>
      </c>
      <c r="E17" s="80" t="s">
        <v>887</v>
      </c>
      <c r="F17" s="80" t="s">
        <v>1456</v>
      </c>
      <c r="G17" s="80" t="s">
        <v>1482</v>
      </c>
      <c r="H17" s="80" t="s">
        <v>1483</v>
      </c>
      <c r="I17" s="80" t="str">
        <f>INDEX(Syn_Tiering!$Q$5:$Q$34,MATCH(C17,Syn_Tiering!$A$5:$A$34,0))</f>
        <v>T1 - Critical</v>
      </c>
      <c r="J17" s="80" t="str">
        <f>INDEX(Tier_Obligations!$C$5:$C$8,MATCH(I17,Tier_Obligations!$A$5:$A$8,0))</f>
        <v>P1</v>
      </c>
      <c r="K17" s="80">
        <f>INDEX(Tier_Obligations!$D$5:$D$8,MATCH(I17,Tier_Obligations!$A$5:$A$8,0))</f>
        <v>30</v>
      </c>
      <c r="L17" s="81">
        <v>46259</v>
      </c>
      <c r="M17" s="81">
        <f t="shared" si="0"/>
        <v>46289</v>
      </c>
      <c r="N17" s="80" t="s">
        <v>1448</v>
      </c>
      <c r="O17" s="80" t="str">
        <f>IF(N17="Closed","Closed",IF(M17&lt;Config!$B$4,"Overdue","On track"))</f>
        <v>Overdue</v>
      </c>
      <c r="P17" s="80" t="s">
        <v>1449</v>
      </c>
      <c r="Q17" s="80" t="s">
        <v>1458</v>
      </c>
    </row>
    <row r="18" spans="1:17" ht="26.4" x14ac:dyDescent="0.3">
      <c r="A18" s="80" t="s">
        <v>1484</v>
      </c>
      <c r="B18" s="80" t="s">
        <v>1265</v>
      </c>
      <c r="C18" s="80" t="s">
        <v>1051</v>
      </c>
      <c r="D18" s="80" t="str">
        <f>INDEX(Syn_AI_Inventory!$B$5:$B$34,MATCH(C18,Syn_AI_Inventory!$A$5:$A$34,0))</f>
        <v>Life Insurance Pricing Model</v>
      </c>
      <c r="E18" s="80" t="s">
        <v>794</v>
      </c>
      <c r="F18" s="80" t="s">
        <v>1445</v>
      </c>
      <c r="G18" s="80" t="s">
        <v>1446</v>
      </c>
      <c r="H18" s="80" t="s">
        <v>1447</v>
      </c>
      <c r="I18" s="80" t="str">
        <f>INDEX(Syn_Tiering!$Q$5:$Q$34,MATCH(C18,Syn_Tiering!$A$5:$A$34,0))</f>
        <v>T1 - Critical</v>
      </c>
      <c r="J18" s="80" t="str">
        <f>INDEX(Tier_Obligations!$C$5:$C$8,MATCH(I18,Tier_Obligations!$A$5:$A$8,0))</f>
        <v>P1</v>
      </c>
      <c r="K18" s="80">
        <f>INDEX(Tier_Obligations!$D$5:$D$8,MATCH(I18,Tier_Obligations!$A$5:$A$8,0))</f>
        <v>30</v>
      </c>
      <c r="L18" s="81">
        <v>46252</v>
      </c>
      <c r="M18" s="81">
        <f t="shared" si="0"/>
        <v>46282</v>
      </c>
      <c r="N18" s="80" t="s">
        <v>1448</v>
      </c>
      <c r="O18" s="80" t="str">
        <f>IF(N18="Closed","Closed",IF(M18&lt;Config!$B$4,"Overdue","On track"))</f>
        <v>Overdue</v>
      </c>
      <c r="P18" s="80" t="s">
        <v>1449</v>
      </c>
      <c r="Q18" s="80" t="s">
        <v>1450</v>
      </c>
    </row>
    <row r="19" spans="1:17" ht="26.4" x14ac:dyDescent="0.3">
      <c r="A19" s="80" t="s">
        <v>1485</v>
      </c>
      <c r="B19" s="80" t="s">
        <v>1266</v>
      </c>
      <c r="C19" s="80" t="s">
        <v>1051</v>
      </c>
      <c r="D19" s="80" t="str">
        <f>INDEX(Syn_AI_Inventory!$B$5:$B$34,MATCH(C19,Syn_AI_Inventory!$A$5:$A$34,0))</f>
        <v>Life Insurance Pricing Model</v>
      </c>
      <c r="E19" s="80" t="s">
        <v>802</v>
      </c>
      <c r="F19" s="80" t="s">
        <v>1445</v>
      </c>
      <c r="G19" s="80" t="s">
        <v>1452</v>
      </c>
      <c r="H19" s="80" t="s">
        <v>1453</v>
      </c>
      <c r="I19" s="80" t="str">
        <f>INDEX(Syn_Tiering!$Q$5:$Q$34,MATCH(C19,Syn_Tiering!$A$5:$A$34,0))</f>
        <v>T1 - Critical</v>
      </c>
      <c r="J19" s="80" t="str">
        <f>INDEX(Tier_Obligations!$C$5:$C$8,MATCH(I19,Tier_Obligations!$A$5:$A$8,0))</f>
        <v>P1</v>
      </c>
      <c r="K19" s="80">
        <f>INDEX(Tier_Obligations!$D$5:$D$8,MATCH(I19,Tier_Obligations!$A$5:$A$8,0))</f>
        <v>30</v>
      </c>
      <c r="L19" s="81">
        <v>46256</v>
      </c>
      <c r="M19" s="81">
        <f t="shared" si="0"/>
        <v>46286</v>
      </c>
      <c r="N19" s="80" t="s">
        <v>1448</v>
      </c>
      <c r="O19" s="80" t="str">
        <f>IF(N19="Closed","Closed",IF(M19&lt;Config!$B$4,"Overdue","On track"))</f>
        <v>Overdue</v>
      </c>
      <c r="P19" s="80" t="s">
        <v>1471</v>
      </c>
      <c r="Q19" s="80" t="s">
        <v>1458</v>
      </c>
    </row>
    <row r="20" spans="1:17" ht="26.4" x14ac:dyDescent="0.3">
      <c r="A20" s="80" t="s">
        <v>1486</v>
      </c>
      <c r="B20" s="80" t="s">
        <v>1272</v>
      </c>
      <c r="C20" s="80" t="s">
        <v>1051</v>
      </c>
      <c r="D20" s="80" t="str">
        <f>INDEX(Syn_AI_Inventory!$B$5:$B$34,MATCH(C20,Syn_AI_Inventory!$A$5:$A$34,0))</f>
        <v>Life Insurance Pricing Model</v>
      </c>
      <c r="E20" s="80" t="s">
        <v>875</v>
      </c>
      <c r="F20" s="80" t="s">
        <v>1445</v>
      </c>
      <c r="G20" s="80" t="s">
        <v>1487</v>
      </c>
      <c r="H20" s="80" t="s">
        <v>1488</v>
      </c>
      <c r="I20" s="80" t="str">
        <f>INDEX(Syn_Tiering!$Q$5:$Q$34,MATCH(C20,Syn_Tiering!$A$5:$A$34,0))</f>
        <v>T1 - Critical</v>
      </c>
      <c r="J20" s="80" t="str">
        <f>INDEX(Tier_Obligations!$C$5:$C$8,MATCH(I20,Tier_Obligations!$A$5:$A$8,0))</f>
        <v>P1</v>
      </c>
      <c r="K20" s="80">
        <f>INDEX(Tier_Obligations!$D$5:$D$8,MATCH(I20,Tier_Obligations!$A$5:$A$8,0))</f>
        <v>30</v>
      </c>
      <c r="L20" s="81">
        <v>46262</v>
      </c>
      <c r="M20" s="81">
        <f t="shared" si="0"/>
        <v>46292</v>
      </c>
      <c r="N20" s="80" t="s">
        <v>1454</v>
      </c>
      <c r="O20" s="80" t="str">
        <f>IF(N20="Closed","Closed",IF(M20&lt;Config!$B$4,"Overdue","On track"))</f>
        <v>Closed</v>
      </c>
      <c r="P20" s="80" t="s">
        <v>1449</v>
      </c>
      <c r="Q20" s="80" t="s">
        <v>1458</v>
      </c>
    </row>
    <row r="21" spans="1:17" ht="26.4" x14ac:dyDescent="0.3">
      <c r="A21" s="80" t="s">
        <v>1489</v>
      </c>
      <c r="B21" s="80" t="s">
        <v>1273</v>
      </c>
      <c r="C21" s="80" t="s">
        <v>1051</v>
      </c>
      <c r="D21" s="80" t="str">
        <f>INDEX(Syn_AI_Inventory!$B$5:$B$34,MATCH(C21,Syn_AI_Inventory!$A$5:$A$34,0))</f>
        <v>Life Insurance Pricing Model</v>
      </c>
      <c r="E21" s="80" t="s">
        <v>881</v>
      </c>
      <c r="F21" s="80" t="s">
        <v>1445</v>
      </c>
      <c r="G21" s="80" t="s">
        <v>1460</v>
      </c>
      <c r="H21" s="80" t="s">
        <v>1461</v>
      </c>
      <c r="I21" s="80" t="str">
        <f>INDEX(Syn_Tiering!$Q$5:$Q$34,MATCH(C21,Syn_Tiering!$A$5:$A$34,0))</f>
        <v>T1 - Critical</v>
      </c>
      <c r="J21" s="80" t="str">
        <f>INDEX(Tier_Obligations!$C$5:$C$8,MATCH(I21,Tier_Obligations!$A$5:$A$8,0))</f>
        <v>P1</v>
      </c>
      <c r="K21" s="80">
        <f>INDEX(Tier_Obligations!$D$5:$D$8,MATCH(I21,Tier_Obligations!$A$5:$A$8,0))</f>
        <v>30</v>
      </c>
      <c r="L21" s="81">
        <v>46263</v>
      </c>
      <c r="M21" s="81">
        <f t="shared" si="0"/>
        <v>46293</v>
      </c>
      <c r="N21" s="80" t="s">
        <v>1454</v>
      </c>
      <c r="O21" s="80" t="str">
        <f>IF(N21="Closed","Closed",IF(M21&lt;Config!$B$4,"Overdue","On track"))</f>
        <v>Closed</v>
      </c>
      <c r="P21" s="80" t="s">
        <v>1449</v>
      </c>
      <c r="Q21" s="80" t="s">
        <v>1458</v>
      </c>
    </row>
    <row r="22" spans="1:17" ht="26.4" x14ac:dyDescent="0.3">
      <c r="A22" s="80" t="s">
        <v>1490</v>
      </c>
      <c r="B22" s="80" t="s">
        <v>1274</v>
      </c>
      <c r="C22" s="80" t="s">
        <v>1051</v>
      </c>
      <c r="D22" s="80" t="str">
        <f>INDEX(Syn_AI_Inventory!$B$5:$B$34,MATCH(C22,Syn_AI_Inventory!$A$5:$A$34,0))</f>
        <v>Life Insurance Pricing Model</v>
      </c>
      <c r="E22" s="80" t="s">
        <v>901</v>
      </c>
      <c r="F22" s="80" t="s">
        <v>1445</v>
      </c>
      <c r="G22" s="80" t="s">
        <v>1468</v>
      </c>
      <c r="H22" s="80" t="s">
        <v>1469</v>
      </c>
      <c r="I22" s="80" t="str">
        <f>INDEX(Syn_Tiering!$Q$5:$Q$34,MATCH(C22,Syn_Tiering!$A$5:$A$34,0))</f>
        <v>T1 - Critical</v>
      </c>
      <c r="J22" s="80" t="str">
        <f>INDEX(Tier_Obligations!$C$5:$C$8,MATCH(I22,Tier_Obligations!$A$5:$A$8,0))</f>
        <v>P1</v>
      </c>
      <c r="K22" s="80">
        <f>INDEX(Tier_Obligations!$D$5:$D$8,MATCH(I22,Tier_Obligations!$A$5:$A$8,0))</f>
        <v>30</v>
      </c>
      <c r="L22" s="81">
        <v>46284</v>
      </c>
      <c r="M22" s="81">
        <f t="shared" si="0"/>
        <v>46314</v>
      </c>
      <c r="N22" s="80" t="s">
        <v>1475</v>
      </c>
      <c r="O22" s="80" t="str">
        <f>IF(N22="Closed","Closed",IF(M22&lt;Config!$B$4,"Overdue","On track"))</f>
        <v>On track</v>
      </c>
      <c r="P22" s="80" t="s">
        <v>1471</v>
      </c>
      <c r="Q22" s="80" t="s">
        <v>1450</v>
      </c>
    </row>
    <row r="23" spans="1:17" ht="26.4" x14ac:dyDescent="0.3">
      <c r="A23" s="80" t="s">
        <v>1491</v>
      </c>
      <c r="B23" s="80" t="s">
        <v>1279</v>
      </c>
      <c r="C23" s="80" t="s">
        <v>1056</v>
      </c>
      <c r="D23" s="80" t="str">
        <f>INDEX(Syn_AI_Inventory!$B$5:$B$34,MATCH(C23,Syn_AI_Inventory!$A$5:$A$34,0))</f>
        <v>Claims Triage NLP</v>
      </c>
      <c r="E23" s="80" t="s">
        <v>909</v>
      </c>
      <c r="F23" s="80" t="s">
        <v>1456</v>
      </c>
      <c r="G23" s="80" t="s">
        <v>1492</v>
      </c>
      <c r="H23" s="80" t="s">
        <v>1493</v>
      </c>
      <c r="I23" s="80" t="str">
        <f>INDEX(Syn_Tiering!$Q$5:$Q$34,MATCH(C23,Syn_Tiering!$A$5:$A$34,0))</f>
        <v>T2 - Elevated</v>
      </c>
      <c r="J23" s="80" t="str">
        <f>INDEX(Tier_Obligations!$C$5:$C$8,MATCH(I23,Tier_Obligations!$A$5:$A$8,0))</f>
        <v>P2</v>
      </c>
      <c r="K23" s="80">
        <f>INDEX(Tier_Obligations!$D$5:$D$8,MATCH(I23,Tier_Obligations!$A$5:$A$8,0))</f>
        <v>60</v>
      </c>
      <c r="L23" s="81">
        <v>46252</v>
      </c>
      <c r="M23" s="81">
        <f t="shared" si="0"/>
        <v>46312</v>
      </c>
      <c r="N23" s="80" t="s">
        <v>1454</v>
      </c>
      <c r="O23" s="80" t="str">
        <f>IF(N23="Closed","Closed",IF(M23&lt;Config!$B$4,"Overdue","On track"))</f>
        <v>Closed</v>
      </c>
      <c r="P23" s="80" t="s">
        <v>1449</v>
      </c>
      <c r="Q23" s="80" t="s">
        <v>1458</v>
      </c>
    </row>
    <row r="24" spans="1:17" ht="26.4" x14ac:dyDescent="0.3">
      <c r="A24" s="80" t="s">
        <v>1494</v>
      </c>
      <c r="B24" s="80" t="s">
        <v>1281</v>
      </c>
      <c r="C24" s="80" t="s">
        <v>1060</v>
      </c>
      <c r="D24" s="80" t="str">
        <f>INDEX(Syn_AI_Inventory!$B$5:$B$34,MATCH(C24,Syn_AI_Inventory!$A$5:$A$34,0))</f>
        <v>Call-Centre Emotion Analytics</v>
      </c>
      <c r="E24" s="80" t="s">
        <v>937</v>
      </c>
      <c r="F24" s="80" t="s">
        <v>1445</v>
      </c>
      <c r="G24" s="80" t="s">
        <v>1495</v>
      </c>
      <c r="H24" s="80" t="s">
        <v>1496</v>
      </c>
      <c r="I24" s="80" t="str">
        <f>INDEX(Syn_Tiering!$Q$5:$Q$34,MATCH(C24,Syn_Tiering!$A$5:$A$34,0))</f>
        <v>T0 - Stop</v>
      </c>
      <c r="J24" s="80" t="str">
        <f>INDEX(Tier_Obligations!$C$5:$C$8,MATCH(I24,Tier_Obligations!$A$5:$A$8,0))</f>
        <v>P0</v>
      </c>
      <c r="K24" s="80">
        <f>INDEX(Tier_Obligations!$D$5:$D$8,MATCH(I24,Tier_Obligations!$A$5:$A$8,0))</f>
        <v>7</v>
      </c>
      <c r="L24" s="81">
        <v>46251</v>
      </c>
      <c r="M24" s="81">
        <f t="shared" si="0"/>
        <v>46258</v>
      </c>
      <c r="N24" s="80" t="s">
        <v>1448</v>
      </c>
      <c r="O24" s="80" t="str">
        <f>IF(N24="Closed","Closed",IF(M24&lt;Config!$B$4,"Overdue","On track"))</f>
        <v>Overdue</v>
      </c>
      <c r="P24" s="80" t="s">
        <v>1449</v>
      </c>
      <c r="Q24" s="80" t="s">
        <v>1458</v>
      </c>
    </row>
    <row r="25" spans="1:17" ht="26.4" x14ac:dyDescent="0.3">
      <c r="A25" s="80" t="s">
        <v>1497</v>
      </c>
      <c r="B25" s="80" t="s">
        <v>1284</v>
      </c>
      <c r="C25" s="80" t="s">
        <v>1065</v>
      </c>
      <c r="D25" s="80" t="str">
        <f>INDEX(Syn_AI_Inventory!$B$5:$B$34,MATCH(C25,Syn_AI_Inventory!$A$5:$A$34,0))</f>
        <v>Store Camera Demographic Analytics (pilot)</v>
      </c>
      <c r="E25" s="80" t="s">
        <v>937</v>
      </c>
      <c r="F25" s="80" t="s">
        <v>1456</v>
      </c>
      <c r="G25" s="80" t="s">
        <v>1495</v>
      </c>
      <c r="H25" s="80" t="s">
        <v>1496</v>
      </c>
      <c r="I25" s="80" t="str">
        <f>INDEX(Syn_Tiering!$Q$5:$Q$34,MATCH(C25,Syn_Tiering!$A$5:$A$34,0))</f>
        <v>T0 - Stop</v>
      </c>
      <c r="J25" s="80" t="str">
        <f>INDEX(Tier_Obligations!$C$5:$C$8,MATCH(I25,Tier_Obligations!$A$5:$A$8,0))</f>
        <v>P0</v>
      </c>
      <c r="K25" s="80">
        <f>INDEX(Tier_Obligations!$D$5:$D$8,MATCH(I25,Tier_Obligations!$A$5:$A$8,0))</f>
        <v>7</v>
      </c>
      <c r="L25" s="81">
        <v>46249</v>
      </c>
      <c r="M25" s="81">
        <f t="shared" si="0"/>
        <v>46256</v>
      </c>
      <c r="N25" s="80" t="s">
        <v>1448</v>
      </c>
      <c r="O25" s="80" t="str">
        <f>IF(N25="Closed","Closed",IF(M25&lt;Config!$B$4,"Overdue","On track"))</f>
        <v>Overdue</v>
      </c>
      <c r="P25" s="80" t="s">
        <v>1449</v>
      </c>
      <c r="Q25" s="80" t="s">
        <v>1450</v>
      </c>
    </row>
    <row r="26" spans="1:17" x14ac:dyDescent="0.3">
      <c r="A26" s="80" t="s">
        <v>1498</v>
      </c>
      <c r="B26" s="80" t="s">
        <v>1292</v>
      </c>
      <c r="C26" s="80" t="s">
        <v>1071</v>
      </c>
      <c r="D26" s="80" t="str">
        <f>INDEX(Syn_AI_Inventory!$B$5:$B$34,MATCH(C26,Syn_AI_Inventory!$A$5:$A$34,0))</f>
        <v>Voice Cloning IVR</v>
      </c>
      <c r="E26" s="80" t="s">
        <v>895</v>
      </c>
      <c r="F26" s="80" t="s">
        <v>1456</v>
      </c>
      <c r="G26" s="80" t="s">
        <v>1499</v>
      </c>
      <c r="H26" s="80" t="s">
        <v>1500</v>
      </c>
      <c r="I26" s="80" t="str">
        <f>INDEX(Syn_Tiering!$Q$5:$Q$34,MATCH(C26,Syn_Tiering!$A$5:$A$34,0))</f>
        <v>T2 - Elevated</v>
      </c>
      <c r="J26" s="80" t="str">
        <f>INDEX(Tier_Obligations!$C$5:$C$8,MATCH(I26,Tier_Obligations!$A$5:$A$8,0))</f>
        <v>P2</v>
      </c>
      <c r="K26" s="80">
        <f>INDEX(Tier_Obligations!$D$5:$D$8,MATCH(I26,Tier_Obligations!$A$5:$A$8,0))</f>
        <v>60</v>
      </c>
      <c r="L26" s="81">
        <v>46278</v>
      </c>
      <c r="M26" s="81">
        <f t="shared" si="0"/>
        <v>46338</v>
      </c>
      <c r="N26" s="80" t="s">
        <v>1463</v>
      </c>
      <c r="O26" s="80" t="str">
        <f>IF(N26="Closed","Closed",IF(M26&lt;Config!$B$4,"Overdue","On track"))</f>
        <v>On track</v>
      </c>
      <c r="P26" s="80" t="s">
        <v>1449</v>
      </c>
      <c r="Q26" s="80" t="s">
        <v>1458</v>
      </c>
    </row>
    <row r="27" spans="1:17" ht="26.4" x14ac:dyDescent="0.3">
      <c r="A27" s="80" t="s">
        <v>1501</v>
      </c>
      <c r="B27" s="80" t="s">
        <v>1294</v>
      </c>
      <c r="C27" s="80" t="s">
        <v>1071</v>
      </c>
      <c r="D27" s="80" t="str">
        <f>INDEX(Syn_AI_Inventory!$B$5:$B$34,MATCH(C27,Syn_AI_Inventory!$A$5:$A$34,0))</f>
        <v>Voice Cloning IVR</v>
      </c>
      <c r="E27" s="80" t="s">
        <v>909</v>
      </c>
      <c r="F27" s="80" t="s">
        <v>1445</v>
      </c>
      <c r="G27" s="80" t="s">
        <v>1492</v>
      </c>
      <c r="H27" s="80" t="s">
        <v>1493</v>
      </c>
      <c r="I27" s="80" t="str">
        <f>INDEX(Syn_Tiering!$Q$5:$Q$34,MATCH(C27,Syn_Tiering!$A$5:$A$34,0))</f>
        <v>T2 - Elevated</v>
      </c>
      <c r="J27" s="80" t="str">
        <f>INDEX(Tier_Obligations!$C$5:$C$8,MATCH(I27,Tier_Obligations!$A$5:$A$8,0))</f>
        <v>P2</v>
      </c>
      <c r="K27" s="80">
        <f>INDEX(Tier_Obligations!$D$5:$D$8,MATCH(I27,Tier_Obligations!$A$5:$A$8,0))</f>
        <v>60</v>
      </c>
      <c r="L27" s="81">
        <v>46253</v>
      </c>
      <c r="M27" s="81">
        <f t="shared" si="0"/>
        <v>46313</v>
      </c>
      <c r="N27" s="80" t="s">
        <v>1448</v>
      </c>
      <c r="O27" s="80" t="str">
        <f>IF(N27="Closed","Closed",IF(M27&lt;Config!$B$4,"Overdue","On track"))</f>
        <v>On track</v>
      </c>
      <c r="P27" s="80" t="s">
        <v>1471</v>
      </c>
      <c r="Q27" s="80" t="s">
        <v>1458</v>
      </c>
    </row>
    <row r="28" spans="1:17" ht="26.4" x14ac:dyDescent="0.3">
      <c r="A28" s="80" t="s">
        <v>1502</v>
      </c>
      <c r="B28" s="80" t="s">
        <v>1295</v>
      </c>
      <c r="C28" s="80" t="s">
        <v>1075</v>
      </c>
      <c r="D28" s="80" t="str">
        <f>INDEX(Syn_AI_Inventory!$B$5:$B$34,MATCH(C28,Syn_AI_Inventory!$A$5:$A$34,0))</f>
        <v>Internal Knowledge Assistant</v>
      </c>
      <c r="E28" s="80" t="s">
        <v>895</v>
      </c>
      <c r="F28" s="80" t="s">
        <v>1445</v>
      </c>
      <c r="G28" s="80" t="s">
        <v>1499</v>
      </c>
      <c r="H28" s="80" t="s">
        <v>1500</v>
      </c>
      <c r="I28" s="80" t="str">
        <f>INDEX(Syn_Tiering!$Q$5:$Q$34,MATCH(C28,Syn_Tiering!$A$5:$A$34,0))</f>
        <v>T2 - Elevated</v>
      </c>
      <c r="J28" s="80" t="str">
        <f>INDEX(Tier_Obligations!$C$5:$C$8,MATCH(I28,Tier_Obligations!$A$5:$A$8,0))</f>
        <v>P2</v>
      </c>
      <c r="K28" s="80">
        <f>INDEX(Tier_Obligations!$D$5:$D$8,MATCH(I28,Tier_Obligations!$A$5:$A$8,0))</f>
        <v>60</v>
      </c>
      <c r="L28" s="81">
        <v>46280</v>
      </c>
      <c r="M28" s="81">
        <f t="shared" si="0"/>
        <v>46340</v>
      </c>
      <c r="N28" s="80" t="s">
        <v>1454</v>
      </c>
      <c r="O28" s="80" t="str">
        <f>IF(N28="Closed","Closed",IF(M28&lt;Config!$B$4,"Overdue","On track"))</f>
        <v>Closed</v>
      </c>
      <c r="P28" s="80" t="s">
        <v>1449</v>
      </c>
      <c r="Q28" s="80" t="s">
        <v>1450</v>
      </c>
    </row>
    <row r="29" spans="1:17" ht="26.4" x14ac:dyDescent="0.3">
      <c r="A29" s="80" t="s">
        <v>1503</v>
      </c>
      <c r="B29" s="80" t="s">
        <v>1296</v>
      </c>
      <c r="C29" s="80" t="s">
        <v>1075</v>
      </c>
      <c r="D29" s="80" t="str">
        <f>INDEX(Syn_AI_Inventory!$B$5:$B$34,MATCH(C29,Syn_AI_Inventory!$A$5:$A$34,0))</f>
        <v>Internal Knowledge Assistant</v>
      </c>
      <c r="E29" s="80" t="s">
        <v>901</v>
      </c>
      <c r="F29" s="80" t="s">
        <v>1445</v>
      </c>
      <c r="G29" s="80" t="s">
        <v>1468</v>
      </c>
      <c r="H29" s="80" t="s">
        <v>1469</v>
      </c>
      <c r="I29" s="80" t="str">
        <f>INDEX(Syn_Tiering!$Q$5:$Q$34,MATCH(C29,Syn_Tiering!$A$5:$A$34,0))</f>
        <v>T2 - Elevated</v>
      </c>
      <c r="J29" s="80" t="str">
        <f>INDEX(Tier_Obligations!$C$5:$C$8,MATCH(I29,Tier_Obligations!$A$5:$A$8,0))</f>
        <v>P2</v>
      </c>
      <c r="K29" s="80">
        <f>INDEX(Tier_Obligations!$D$5:$D$8,MATCH(I29,Tier_Obligations!$A$5:$A$8,0))</f>
        <v>60</v>
      </c>
      <c r="L29" s="81">
        <v>46264</v>
      </c>
      <c r="M29" s="81">
        <f t="shared" si="0"/>
        <v>46324</v>
      </c>
      <c r="N29" s="80" t="s">
        <v>1463</v>
      </c>
      <c r="O29" s="80" t="str">
        <f>IF(N29="Closed","Closed",IF(M29&lt;Config!$B$4,"Overdue","On track"))</f>
        <v>On track</v>
      </c>
      <c r="P29" s="80" t="s">
        <v>1471</v>
      </c>
      <c r="Q29" s="80" t="s">
        <v>1458</v>
      </c>
    </row>
    <row r="30" spans="1:17" ht="26.4" x14ac:dyDescent="0.3">
      <c r="A30" s="80" t="s">
        <v>1504</v>
      </c>
      <c r="B30" s="80" t="s">
        <v>1301</v>
      </c>
      <c r="C30" s="80" t="s">
        <v>1079</v>
      </c>
      <c r="D30" s="80" t="str">
        <f>INDEX(Syn_AI_Inventory!$B$5:$B$34,MATCH(C30,Syn_AI_Inventory!$A$5:$A$34,0))</f>
        <v>NorthLM-70B Foundation Model</v>
      </c>
      <c r="E30" s="80" t="s">
        <v>787</v>
      </c>
      <c r="F30" s="80" t="s">
        <v>1445</v>
      </c>
      <c r="G30" s="80" t="s">
        <v>1505</v>
      </c>
      <c r="H30" s="80" t="s">
        <v>1506</v>
      </c>
      <c r="I30" s="80" t="str">
        <f>INDEX(Syn_Tiering!$Q$5:$Q$34,MATCH(C30,Syn_Tiering!$A$5:$A$34,0))</f>
        <v>T2 - Elevated</v>
      </c>
      <c r="J30" s="80" t="str">
        <f>INDEX(Tier_Obligations!$C$5:$C$8,MATCH(I30,Tier_Obligations!$A$5:$A$8,0))</f>
        <v>P2</v>
      </c>
      <c r="K30" s="80">
        <f>INDEX(Tier_Obligations!$D$5:$D$8,MATCH(I30,Tier_Obligations!$A$5:$A$8,0))</f>
        <v>60</v>
      </c>
      <c r="L30" s="81">
        <v>46274</v>
      </c>
      <c r="M30" s="81">
        <f t="shared" si="0"/>
        <v>46334</v>
      </c>
      <c r="N30" s="80" t="s">
        <v>1463</v>
      </c>
      <c r="O30" s="80" t="str">
        <f>IF(N30="Closed","Closed",IF(M30&lt;Config!$B$4,"Overdue","On track"))</f>
        <v>On track</v>
      </c>
      <c r="P30" s="80" t="s">
        <v>1449</v>
      </c>
      <c r="Q30" s="80" t="s">
        <v>1450</v>
      </c>
    </row>
    <row r="31" spans="1:17" ht="26.4" x14ac:dyDescent="0.3">
      <c r="A31" s="80" t="s">
        <v>1507</v>
      </c>
      <c r="B31" s="80" t="s">
        <v>1302</v>
      </c>
      <c r="C31" s="80" t="s">
        <v>1079</v>
      </c>
      <c r="D31" s="80" t="str">
        <f>INDEX(Syn_AI_Inventory!$B$5:$B$34,MATCH(C31,Syn_AI_Inventory!$A$5:$A$34,0))</f>
        <v>NorthLM-70B Foundation Model</v>
      </c>
      <c r="E31" s="80" t="s">
        <v>901</v>
      </c>
      <c r="F31" s="80" t="s">
        <v>1456</v>
      </c>
      <c r="G31" s="80" t="s">
        <v>1468</v>
      </c>
      <c r="H31" s="80" t="s">
        <v>1469</v>
      </c>
      <c r="I31" s="80" t="str">
        <f>INDEX(Syn_Tiering!$Q$5:$Q$34,MATCH(C31,Syn_Tiering!$A$5:$A$34,0))</f>
        <v>T2 - Elevated</v>
      </c>
      <c r="J31" s="80" t="str">
        <f>INDEX(Tier_Obligations!$C$5:$C$8,MATCH(I31,Tier_Obligations!$A$5:$A$8,0))</f>
        <v>P2</v>
      </c>
      <c r="K31" s="80">
        <f>INDEX(Tier_Obligations!$D$5:$D$8,MATCH(I31,Tier_Obligations!$A$5:$A$8,0))</f>
        <v>60</v>
      </c>
      <c r="L31" s="81">
        <v>46287</v>
      </c>
      <c r="M31" s="81">
        <f t="shared" si="0"/>
        <v>46347</v>
      </c>
      <c r="N31" s="80" t="s">
        <v>1448</v>
      </c>
      <c r="O31" s="80" t="str">
        <f>IF(N31="Closed","Closed",IF(M31&lt;Config!$B$4,"Overdue","On track"))</f>
        <v>On track</v>
      </c>
      <c r="P31" s="80" t="s">
        <v>1471</v>
      </c>
      <c r="Q31" s="80" t="s">
        <v>1450</v>
      </c>
    </row>
    <row r="32" spans="1:17" ht="26.4" x14ac:dyDescent="0.3">
      <c r="A32" s="80" t="s">
        <v>1508</v>
      </c>
      <c r="B32" s="80" t="s">
        <v>1310</v>
      </c>
      <c r="C32" s="80" t="s">
        <v>1084</v>
      </c>
      <c r="D32" s="80" t="str">
        <f>INDEX(Syn_AI_Inventory!$B$5:$B$34,MATCH(C32,Syn_AI_Inventory!$A$5:$A$34,0))</f>
        <v>Developer Code Assistant</v>
      </c>
      <c r="E32" s="80" t="s">
        <v>909</v>
      </c>
      <c r="F32" s="80" t="s">
        <v>1456</v>
      </c>
      <c r="G32" s="80" t="s">
        <v>1492</v>
      </c>
      <c r="H32" s="80" t="s">
        <v>1493</v>
      </c>
      <c r="I32" s="80" t="str">
        <f>INDEX(Syn_Tiering!$Q$5:$Q$34,MATCH(C32,Syn_Tiering!$A$5:$A$34,0))</f>
        <v>T3 - Standard</v>
      </c>
      <c r="J32" s="80" t="str">
        <f>INDEX(Tier_Obligations!$C$5:$C$8,MATCH(I32,Tier_Obligations!$A$5:$A$8,0))</f>
        <v>P3</v>
      </c>
      <c r="K32" s="80">
        <f>INDEX(Tier_Obligations!$D$5:$D$8,MATCH(I32,Tier_Obligations!$A$5:$A$8,0))</f>
        <v>120</v>
      </c>
      <c r="L32" s="81">
        <v>46281</v>
      </c>
      <c r="M32" s="81">
        <f t="shared" si="0"/>
        <v>46401</v>
      </c>
      <c r="N32" s="80" t="s">
        <v>1454</v>
      </c>
      <c r="O32" s="80" t="str">
        <f>IF(N32="Closed","Closed",IF(M32&lt;Config!$B$4,"Overdue","On track"))</f>
        <v>Closed</v>
      </c>
      <c r="P32" s="80" t="s">
        <v>1471</v>
      </c>
      <c r="Q32" s="80" t="s">
        <v>1466</v>
      </c>
    </row>
    <row r="33" spans="1:17" ht="26.4" x14ac:dyDescent="0.3">
      <c r="A33" s="80" t="s">
        <v>1509</v>
      </c>
      <c r="B33" s="80" t="s">
        <v>1314</v>
      </c>
      <c r="C33" s="80" t="s">
        <v>1088</v>
      </c>
      <c r="D33" s="80" t="str">
        <f>INDEX(Syn_AI_Inventory!$B$5:$B$34,MATCH(C33,Syn_AI_Inventory!$A$5:$A$34,0))</f>
        <v>Trading Anomaly Detection</v>
      </c>
      <c r="E33" s="80" t="s">
        <v>909</v>
      </c>
      <c r="F33" s="80" t="s">
        <v>1456</v>
      </c>
      <c r="G33" s="80" t="s">
        <v>1492</v>
      </c>
      <c r="H33" s="80" t="s">
        <v>1493</v>
      </c>
      <c r="I33" s="80" t="str">
        <f>INDEX(Syn_Tiering!$Q$5:$Q$34,MATCH(C33,Syn_Tiering!$A$5:$A$34,0))</f>
        <v>T3 - Standard</v>
      </c>
      <c r="J33" s="80" t="str">
        <f>INDEX(Tier_Obligations!$C$5:$C$8,MATCH(I33,Tier_Obligations!$A$5:$A$8,0))</f>
        <v>P3</v>
      </c>
      <c r="K33" s="80">
        <f>INDEX(Tier_Obligations!$D$5:$D$8,MATCH(I33,Tier_Obligations!$A$5:$A$8,0))</f>
        <v>120</v>
      </c>
      <c r="L33" s="81">
        <v>46258</v>
      </c>
      <c r="M33" s="81">
        <f t="shared" si="0"/>
        <v>46378</v>
      </c>
      <c r="N33" s="80" t="s">
        <v>1448</v>
      </c>
      <c r="O33" s="80" t="str">
        <f>IF(N33="Closed","Closed",IF(M33&lt;Config!$B$4,"Overdue","On track"))</f>
        <v>On track</v>
      </c>
      <c r="P33" s="80" t="s">
        <v>1449</v>
      </c>
      <c r="Q33" s="80" t="s">
        <v>1458</v>
      </c>
    </row>
    <row r="34" spans="1:17" ht="26.4" x14ac:dyDescent="0.3">
      <c r="A34" s="80" t="s">
        <v>1510</v>
      </c>
      <c r="B34" s="80" t="s">
        <v>1316</v>
      </c>
      <c r="C34" s="80" t="s">
        <v>1093</v>
      </c>
      <c r="D34" s="80" t="str">
        <f>INDEX(Syn_AI_Inventory!$B$5:$B$34,MATCH(C34,Syn_AI_Inventory!$A$5:$A$34,0))</f>
        <v>APAC Branch Credit Pre-Screen (Singapore only)</v>
      </c>
      <c r="E34" s="80" t="s">
        <v>787</v>
      </c>
      <c r="F34" s="80" t="s">
        <v>1456</v>
      </c>
      <c r="G34" s="80" t="s">
        <v>1505</v>
      </c>
      <c r="H34" s="80" t="s">
        <v>1506</v>
      </c>
      <c r="I34" s="80" t="str">
        <f>INDEX(Syn_Tiering!$Q$5:$Q$34,MATCH(C34,Syn_Tiering!$A$5:$A$34,0))</f>
        <v>T1 - Critical</v>
      </c>
      <c r="J34" s="80" t="str">
        <f>INDEX(Tier_Obligations!$C$5:$C$8,MATCH(I34,Tier_Obligations!$A$5:$A$8,0))</f>
        <v>P1</v>
      </c>
      <c r="K34" s="80">
        <f>INDEX(Tier_Obligations!$D$5:$D$8,MATCH(I34,Tier_Obligations!$A$5:$A$8,0))</f>
        <v>30</v>
      </c>
      <c r="L34" s="81">
        <v>46240</v>
      </c>
      <c r="M34" s="81">
        <f t="shared" si="0"/>
        <v>46270</v>
      </c>
      <c r="N34" s="80" t="s">
        <v>1475</v>
      </c>
      <c r="O34" s="80" t="str">
        <f>IF(N34="Closed","Closed",IF(M34&lt;Config!$B$4,"Overdue","On track"))</f>
        <v>Overdue</v>
      </c>
      <c r="P34" s="80" t="s">
        <v>1471</v>
      </c>
      <c r="Q34" s="80" t="s">
        <v>1466</v>
      </c>
    </row>
    <row r="35" spans="1:17" ht="26.4" x14ac:dyDescent="0.3">
      <c r="A35" s="80" t="s">
        <v>1511</v>
      </c>
      <c r="B35" s="80" t="s">
        <v>1318</v>
      </c>
      <c r="C35" s="80" t="s">
        <v>1093</v>
      </c>
      <c r="D35" s="80" t="str">
        <f>INDEX(Syn_AI_Inventory!$B$5:$B$34,MATCH(C35,Syn_AI_Inventory!$A$5:$A$34,0))</f>
        <v>APAC Branch Credit Pre-Screen (Singapore only)</v>
      </c>
      <c r="E35" s="80" t="s">
        <v>794</v>
      </c>
      <c r="F35" s="80" t="s">
        <v>1445</v>
      </c>
      <c r="G35" s="80" t="s">
        <v>1446</v>
      </c>
      <c r="H35" s="80" t="s">
        <v>1447</v>
      </c>
      <c r="I35" s="80" t="str">
        <f>INDEX(Syn_Tiering!$Q$5:$Q$34,MATCH(C35,Syn_Tiering!$A$5:$A$34,0))</f>
        <v>T1 - Critical</v>
      </c>
      <c r="J35" s="80" t="str">
        <f>INDEX(Tier_Obligations!$C$5:$C$8,MATCH(I35,Tier_Obligations!$A$5:$A$8,0))</f>
        <v>P1</v>
      </c>
      <c r="K35" s="80">
        <f>INDEX(Tier_Obligations!$D$5:$D$8,MATCH(I35,Tier_Obligations!$A$5:$A$8,0))</f>
        <v>30</v>
      </c>
      <c r="L35" s="81">
        <v>46266</v>
      </c>
      <c r="M35" s="81">
        <f t="shared" si="0"/>
        <v>46296</v>
      </c>
      <c r="N35" s="80" t="s">
        <v>1448</v>
      </c>
      <c r="O35" s="80" t="str">
        <f>IF(N35="Closed","Closed",IF(M35&lt;Config!$B$4,"Overdue","On track"))</f>
        <v>On track</v>
      </c>
      <c r="P35" s="80" t="s">
        <v>1449</v>
      </c>
      <c r="Q35" s="80" t="s">
        <v>1458</v>
      </c>
    </row>
    <row r="36" spans="1:17" ht="26.4" x14ac:dyDescent="0.3">
      <c r="A36" s="80" t="s">
        <v>1512</v>
      </c>
      <c r="B36" s="80" t="s">
        <v>1329</v>
      </c>
      <c r="C36" s="80" t="s">
        <v>1100</v>
      </c>
      <c r="D36" s="80" t="str">
        <f>INDEX(Syn_AI_Inventory!$B$5:$B$34,MATCH(C36,Syn_AI_Inventory!$A$5:$A$34,0))</f>
        <v>Shift Scheduling Optimiser</v>
      </c>
      <c r="E36" s="80" t="s">
        <v>802</v>
      </c>
      <c r="F36" s="80" t="s">
        <v>1445</v>
      </c>
      <c r="G36" s="80" t="s">
        <v>1452</v>
      </c>
      <c r="H36" s="80" t="s">
        <v>1453</v>
      </c>
      <c r="I36" s="80" t="str">
        <f>INDEX(Syn_Tiering!$Q$5:$Q$34,MATCH(C36,Syn_Tiering!$A$5:$A$34,0))</f>
        <v>T1 - Critical</v>
      </c>
      <c r="J36" s="80" t="str">
        <f>INDEX(Tier_Obligations!$C$5:$C$8,MATCH(I36,Tier_Obligations!$A$5:$A$8,0))</f>
        <v>P1</v>
      </c>
      <c r="K36" s="80">
        <f>INDEX(Tier_Obligations!$D$5:$D$8,MATCH(I36,Tier_Obligations!$A$5:$A$8,0))</f>
        <v>30</v>
      </c>
      <c r="L36" s="81">
        <v>46248</v>
      </c>
      <c r="M36" s="81">
        <f t="shared" si="0"/>
        <v>46278</v>
      </c>
      <c r="N36" s="80" t="s">
        <v>1475</v>
      </c>
      <c r="O36" s="80" t="str">
        <f>IF(N36="Closed","Closed",IF(M36&lt;Config!$B$4,"Overdue","On track"))</f>
        <v>Overdue</v>
      </c>
      <c r="P36" s="80" t="s">
        <v>1449</v>
      </c>
      <c r="Q36" s="80" t="s">
        <v>1458</v>
      </c>
    </row>
    <row r="37" spans="1:17" ht="26.4" x14ac:dyDescent="0.3">
      <c r="A37" s="80" t="s">
        <v>1513</v>
      </c>
      <c r="B37" s="80" t="s">
        <v>1330</v>
      </c>
      <c r="C37" s="80" t="s">
        <v>1100</v>
      </c>
      <c r="D37" s="80" t="str">
        <f>INDEX(Syn_AI_Inventory!$B$5:$B$34,MATCH(C37,Syn_AI_Inventory!$A$5:$A$34,0))</f>
        <v>Shift Scheduling Optimiser</v>
      </c>
      <c r="E37" s="80" t="s">
        <v>833</v>
      </c>
      <c r="F37" s="80" t="s">
        <v>1445</v>
      </c>
      <c r="G37" s="80" t="s">
        <v>1514</v>
      </c>
      <c r="H37" s="80" t="s">
        <v>1515</v>
      </c>
      <c r="I37" s="80" t="str">
        <f>INDEX(Syn_Tiering!$Q$5:$Q$34,MATCH(C37,Syn_Tiering!$A$5:$A$34,0))</f>
        <v>T1 - Critical</v>
      </c>
      <c r="J37" s="80" t="str">
        <f>INDEX(Tier_Obligations!$C$5:$C$8,MATCH(I37,Tier_Obligations!$A$5:$A$8,0))</f>
        <v>P1</v>
      </c>
      <c r="K37" s="80">
        <f>INDEX(Tier_Obligations!$D$5:$D$8,MATCH(I37,Tier_Obligations!$A$5:$A$8,0))</f>
        <v>30</v>
      </c>
      <c r="L37" s="81">
        <v>46258</v>
      </c>
      <c r="M37" s="81">
        <f t="shared" ref="M37:M61" si="1">L37+K37</f>
        <v>46288</v>
      </c>
      <c r="N37" s="80" t="s">
        <v>1463</v>
      </c>
      <c r="O37" s="80" t="str">
        <f>IF(N37="Closed","Closed",IF(M37&lt;Config!$B$4,"Overdue","On track"))</f>
        <v>Overdue</v>
      </c>
      <c r="P37" s="80" t="s">
        <v>1449</v>
      </c>
      <c r="Q37" s="80" t="s">
        <v>1458</v>
      </c>
    </row>
    <row r="38" spans="1:17" ht="26.4" x14ac:dyDescent="0.3">
      <c r="A38" s="80" t="s">
        <v>1516</v>
      </c>
      <c r="B38" s="80" t="s">
        <v>1331</v>
      </c>
      <c r="C38" s="80" t="s">
        <v>1100</v>
      </c>
      <c r="D38" s="80" t="str">
        <f>INDEX(Syn_AI_Inventory!$B$5:$B$34,MATCH(C38,Syn_AI_Inventory!$A$5:$A$34,0))</f>
        <v>Shift Scheduling Optimiser</v>
      </c>
      <c r="E38" s="80" t="s">
        <v>647</v>
      </c>
      <c r="F38" s="80" t="s">
        <v>1445</v>
      </c>
      <c r="G38" s="80" t="s">
        <v>1517</v>
      </c>
      <c r="H38" s="80" t="s">
        <v>1447</v>
      </c>
      <c r="I38" s="80" t="str">
        <f>INDEX(Syn_Tiering!$Q$5:$Q$34,MATCH(C38,Syn_Tiering!$A$5:$A$34,0))</f>
        <v>T1 - Critical</v>
      </c>
      <c r="J38" s="80" t="str">
        <f>INDEX(Tier_Obligations!$C$5:$C$8,MATCH(I38,Tier_Obligations!$A$5:$A$8,0))</f>
        <v>P1</v>
      </c>
      <c r="K38" s="80">
        <f>INDEX(Tier_Obligations!$D$5:$D$8,MATCH(I38,Tier_Obligations!$A$5:$A$8,0))</f>
        <v>30</v>
      </c>
      <c r="L38" s="81">
        <v>46278</v>
      </c>
      <c r="M38" s="81">
        <f t="shared" si="1"/>
        <v>46308</v>
      </c>
      <c r="N38" s="80" t="s">
        <v>1463</v>
      </c>
      <c r="O38" s="80" t="str">
        <f>IF(N38="Closed","Closed",IF(M38&lt;Config!$B$4,"Overdue","On track"))</f>
        <v>On track</v>
      </c>
      <c r="P38" s="80" t="s">
        <v>1471</v>
      </c>
      <c r="Q38" s="80" t="s">
        <v>1458</v>
      </c>
    </row>
    <row r="39" spans="1:17" ht="26.4" x14ac:dyDescent="0.3">
      <c r="A39" s="80" t="s">
        <v>1518</v>
      </c>
      <c r="B39" s="80" t="s">
        <v>1332</v>
      </c>
      <c r="C39" s="80" t="s">
        <v>1100</v>
      </c>
      <c r="D39" s="80" t="str">
        <f>INDEX(Syn_AI_Inventory!$B$5:$B$34,MATCH(C39,Syn_AI_Inventory!$A$5:$A$34,0))</f>
        <v>Shift Scheduling Optimiser</v>
      </c>
      <c r="E39" s="80" t="s">
        <v>653</v>
      </c>
      <c r="F39" s="80" t="s">
        <v>1456</v>
      </c>
      <c r="G39" s="80" t="s">
        <v>1519</v>
      </c>
      <c r="H39" s="80" t="s">
        <v>1520</v>
      </c>
      <c r="I39" s="80" t="str">
        <f>INDEX(Syn_Tiering!$Q$5:$Q$34,MATCH(C39,Syn_Tiering!$A$5:$A$34,0))</f>
        <v>T1 - Critical</v>
      </c>
      <c r="J39" s="80" t="str">
        <f>INDEX(Tier_Obligations!$C$5:$C$8,MATCH(I39,Tier_Obligations!$A$5:$A$8,0))</f>
        <v>P1</v>
      </c>
      <c r="K39" s="80">
        <f>INDEX(Tier_Obligations!$D$5:$D$8,MATCH(I39,Tier_Obligations!$A$5:$A$8,0))</f>
        <v>30</v>
      </c>
      <c r="L39" s="81">
        <v>46244</v>
      </c>
      <c r="M39" s="81">
        <f t="shared" si="1"/>
        <v>46274</v>
      </c>
      <c r="N39" s="80" t="s">
        <v>1448</v>
      </c>
      <c r="O39" s="80" t="str">
        <f>IF(N39="Closed","Closed",IF(M39&lt;Config!$B$4,"Overdue","On track"))</f>
        <v>Overdue</v>
      </c>
      <c r="P39" s="80" t="s">
        <v>1449</v>
      </c>
      <c r="Q39" s="80" t="s">
        <v>1458</v>
      </c>
    </row>
    <row r="40" spans="1:17" ht="26.4" x14ac:dyDescent="0.3">
      <c r="A40" s="80" t="s">
        <v>1521</v>
      </c>
      <c r="B40" s="80" t="s">
        <v>1340</v>
      </c>
      <c r="C40" s="80" t="s">
        <v>1104</v>
      </c>
      <c r="D40" s="80" t="str">
        <f>INDEX(Syn_AI_Inventory!$B$5:$B$34,MATCH(C40,Syn_AI_Inventory!$A$5:$A$34,0))</f>
        <v>Facility Energy Optimiser</v>
      </c>
      <c r="E40" s="80" t="s">
        <v>777</v>
      </c>
      <c r="F40" s="80" t="s">
        <v>1445</v>
      </c>
      <c r="G40" s="80" t="s">
        <v>1522</v>
      </c>
      <c r="H40" s="80" t="s">
        <v>987</v>
      </c>
      <c r="I40" s="80" t="str">
        <f>INDEX(Syn_Tiering!$Q$5:$Q$34,MATCH(C40,Syn_Tiering!$A$5:$A$34,0))</f>
        <v>T3 - Standard</v>
      </c>
      <c r="J40" s="80" t="str">
        <f>INDEX(Tier_Obligations!$C$5:$C$8,MATCH(I40,Tier_Obligations!$A$5:$A$8,0))</f>
        <v>P3</v>
      </c>
      <c r="K40" s="80">
        <f>INDEX(Tier_Obligations!$D$5:$D$8,MATCH(I40,Tier_Obligations!$A$5:$A$8,0))</f>
        <v>120</v>
      </c>
      <c r="L40" s="81">
        <v>46280</v>
      </c>
      <c r="M40" s="81">
        <f t="shared" si="1"/>
        <v>46400</v>
      </c>
      <c r="N40" s="80" t="s">
        <v>1448</v>
      </c>
      <c r="O40" s="80" t="str">
        <f>IF(N40="Closed","Closed",IF(M40&lt;Config!$B$4,"Overdue","On track"))</f>
        <v>On track</v>
      </c>
      <c r="P40" s="80" t="s">
        <v>1449</v>
      </c>
      <c r="Q40" s="80" t="s">
        <v>1458</v>
      </c>
    </row>
    <row r="41" spans="1:17" ht="26.4" x14ac:dyDescent="0.3">
      <c r="A41" s="80" t="s">
        <v>1523</v>
      </c>
      <c r="B41" s="80" t="s">
        <v>1341</v>
      </c>
      <c r="C41" s="80" t="s">
        <v>1104</v>
      </c>
      <c r="D41" s="80" t="str">
        <f>INDEX(Syn_AI_Inventory!$B$5:$B$34,MATCH(C41,Syn_AI_Inventory!$A$5:$A$34,0))</f>
        <v>Facility Energy Optimiser</v>
      </c>
      <c r="E41" s="80" t="s">
        <v>909</v>
      </c>
      <c r="F41" s="80" t="s">
        <v>1445</v>
      </c>
      <c r="G41" s="80" t="s">
        <v>1492</v>
      </c>
      <c r="H41" s="80" t="s">
        <v>1493</v>
      </c>
      <c r="I41" s="80" t="str">
        <f>INDEX(Syn_Tiering!$Q$5:$Q$34,MATCH(C41,Syn_Tiering!$A$5:$A$34,0))</f>
        <v>T3 - Standard</v>
      </c>
      <c r="J41" s="80" t="str">
        <f>INDEX(Tier_Obligations!$C$5:$C$8,MATCH(I41,Tier_Obligations!$A$5:$A$8,0))</f>
        <v>P3</v>
      </c>
      <c r="K41" s="80">
        <f>INDEX(Tier_Obligations!$D$5:$D$8,MATCH(I41,Tier_Obligations!$A$5:$A$8,0))</f>
        <v>120</v>
      </c>
      <c r="L41" s="81">
        <v>46284</v>
      </c>
      <c r="M41" s="81">
        <f t="shared" si="1"/>
        <v>46404</v>
      </c>
      <c r="N41" s="80" t="s">
        <v>1463</v>
      </c>
      <c r="O41" s="80" t="str">
        <f>IF(N41="Closed","Closed",IF(M41&lt;Config!$B$4,"Overdue","On track"))</f>
        <v>On track</v>
      </c>
      <c r="P41" s="80" t="s">
        <v>1449</v>
      </c>
      <c r="Q41" s="80" t="s">
        <v>1450</v>
      </c>
    </row>
    <row r="42" spans="1:17" ht="26.4" x14ac:dyDescent="0.3">
      <c r="A42" s="80" t="s">
        <v>1524</v>
      </c>
      <c r="B42" s="80" t="s">
        <v>1350</v>
      </c>
      <c r="C42" s="80" t="s">
        <v>1108</v>
      </c>
      <c r="D42" s="80" t="str">
        <f>INDEX(Syn_AI_Inventory!$B$5:$B$34,MATCH(C42,Syn_AI_Inventory!$A$5:$A$34,0))</f>
        <v>Graduate Programme Admissions Ranker</v>
      </c>
      <c r="E42" s="80" t="s">
        <v>887</v>
      </c>
      <c r="F42" s="80" t="s">
        <v>1456</v>
      </c>
      <c r="G42" s="80" t="s">
        <v>1482</v>
      </c>
      <c r="H42" s="80" t="s">
        <v>1483</v>
      </c>
      <c r="I42" s="80" t="str">
        <f>INDEX(Syn_Tiering!$Q$5:$Q$34,MATCH(C42,Syn_Tiering!$A$5:$A$34,0))</f>
        <v>T1 - Critical</v>
      </c>
      <c r="J42" s="80" t="str">
        <f>INDEX(Tier_Obligations!$C$5:$C$8,MATCH(I42,Tier_Obligations!$A$5:$A$8,0))</f>
        <v>P1</v>
      </c>
      <c r="K42" s="80">
        <f>INDEX(Tier_Obligations!$D$5:$D$8,MATCH(I42,Tier_Obligations!$A$5:$A$8,0))</f>
        <v>30</v>
      </c>
      <c r="L42" s="81">
        <v>46246</v>
      </c>
      <c r="M42" s="81">
        <f t="shared" si="1"/>
        <v>46276</v>
      </c>
      <c r="N42" s="80" t="s">
        <v>1448</v>
      </c>
      <c r="O42" s="80" t="str">
        <f>IF(N42="Closed","Closed",IF(M42&lt;Config!$B$4,"Overdue","On track"))</f>
        <v>Overdue</v>
      </c>
      <c r="P42" s="80" t="s">
        <v>1449</v>
      </c>
      <c r="Q42" s="80" t="s">
        <v>1450</v>
      </c>
    </row>
    <row r="43" spans="1:17" ht="26.4" x14ac:dyDescent="0.3">
      <c r="A43" s="80" t="s">
        <v>1525</v>
      </c>
      <c r="B43" s="80" t="s">
        <v>1352</v>
      </c>
      <c r="C43" s="80" t="s">
        <v>1108</v>
      </c>
      <c r="D43" s="80" t="str">
        <f>INDEX(Syn_AI_Inventory!$B$5:$B$34,MATCH(C43,Syn_AI_Inventory!$A$5:$A$34,0))</f>
        <v>Graduate Programme Admissions Ranker</v>
      </c>
      <c r="E43" s="80" t="s">
        <v>901</v>
      </c>
      <c r="F43" s="80" t="s">
        <v>1456</v>
      </c>
      <c r="G43" s="80" t="s">
        <v>1468</v>
      </c>
      <c r="H43" s="80" t="s">
        <v>1469</v>
      </c>
      <c r="I43" s="80" t="str">
        <f>INDEX(Syn_Tiering!$Q$5:$Q$34,MATCH(C43,Syn_Tiering!$A$5:$A$34,0))</f>
        <v>T1 - Critical</v>
      </c>
      <c r="J43" s="80" t="str">
        <f>INDEX(Tier_Obligations!$C$5:$C$8,MATCH(I43,Tier_Obligations!$A$5:$A$8,0))</f>
        <v>P1</v>
      </c>
      <c r="K43" s="80">
        <f>INDEX(Tier_Obligations!$D$5:$D$8,MATCH(I43,Tier_Obligations!$A$5:$A$8,0))</f>
        <v>30</v>
      </c>
      <c r="L43" s="81">
        <v>46249</v>
      </c>
      <c r="M43" s="81">
        <f t="shared" si="1"/>
        <v>46279</v>
      </c>
      <c r="N43" s="80" t="s">
        <v>1454</v>
      </c>
      <c r="O43" s="80" t="str">
        <f>IF(N43="Closed","Closed",IF(M43&lt;Config!$B$4,"Overdue","On track"))</f>
        <v>Closed</v>
      </c>
      <c r="P43" s="80" t="s">
        <v>1471</v>
      </c>
      <c r="Q43" s="80" t="s">
        <v>1458</v>
      </c>
    </row>
    <row r="44" spans="1:17" ht="26.4" x14ac:dyDescent="0.3">
      <c r="A44" s="80" t="s">
        <v>1526</v>
      </c>
      <c r="B44" s="80" t="s">
        <v>1354</v>
      </c>
      <c r="C44" s="80" t="s">
        <v>1108</v>
      </c>
      <c r="D44" s="80" t="str">
        <f>INDEX(Syn_AI_Inventory!$B$5:$B$34,MATCH(C44,Syn_AI_Inventory!$A$5:$A$34,0))</f>
        <v>Graduate Programme Admissions Ranker</v>
      </c>
      <c r="E44" s="80" t="s">
        <v>916</v>
      </c>
      <c r="F44" s="80" t="s">
        <v>1456</v>
      </c>
      <c r="G44" s="80" t="s">
        <v>1527</v>
      </c>
      <c r="H44" s="80" t="s">
        <v>1515</v>
      </c>
      <c r="I44" s="80" t="str">
        <f>INDEX(Syn_Tiering!$Q$5:$Q$34,MATCH(C44,Syn_Tiering!$A$5:$A$34,0))</f>
        <v>T1 - Critical</v>
      </c>
      <c r="J44" s="80" t="str">
        <f>INDEX(Tier_Obligations!$C$5:$C$8,MATCH(I44,Tier_Obligations!$A$5:$A$8,0))</f>
        <v>P1</v>
      </c>
      <c r="K44" s="80">
        <f>INDEX(Tier_Obligations!$D$5:$D$8,MATCH(I44,Tier_Obligations!$A$5:$A$8,0))</f>
        <v>30</v>
      </c>
      <c r="L44" s="81">
        <v>46275</v>
      </c>
      <c r="M44" s="81">
        <f t="shared" si="1"/>
        <v>46305</v>
      </c>
      <c r="N44" s="80" t="s">
        <v>1448</v>
      </c>
      <c r="O44" s="80" t="str">
        <f>IF(N44="Closed","Closed",IF(M44&lt;Config!$B$4,"Overdue","On track"))</f>
        <v>On track</v>
      </c>
      <c r="P44" s="80" t="s">
        <v>1449</v>
      </c>
      <c r="Q44" s="80" t="s">
        <v>1450</v>
      </c>
    </row>
    <row r="45" spans="1:17" ht="26.4" x14ac:dyDescent="0.3">
      <c r="A45" s="80" t="s">
        <v>1528</v>
      </c>
      <c r="B45" s="80" t="s">
        <v>1356</v>
      </c>
      <c r="C45" s="80" t="s">
        <v>1108</v>
      </c>
      <c r="D45" s="80" t="str">
        <f>INDEX(Syn_AI_Inventory!$B$5:$B$34,MATCH(C45,Syn_AI_Inventory!$A$5:$A$34,0))</f>
        <v>Graduate Programme Admissions Ranker</v>
      </c>
      <c r="E45" s="80" t="s">
        <v>944</v>
      </c>
      <c r="F45" s="80" t="s">
        <v>1456</v>
      </c>
      <c r="G45" s="80" t="s">
        <v>1473</v>
      </c>
      <c r="H45" s="80" t="s">
        <v>1474</v>
      </c>
      <c r="I45" s="80" t="str">
        <f>INDEX(Syn_Tiering!$Q$5:$Q$34,MATCH(C45,Syn_Tiering!$A$5:$A$34,0))</f>
        <v>T1 - Critical</v>
      </c>
      <c r="J45" s="80" t="str">
        <f>INDEX(Tier_Obligations!$C$5:$C$8,MATCH(I45,Tier_Obligations!$A$5:$A$8,0))</f>
        <v>P1</v>
      </c>
      <c r="K45" s="80">
        <f>INDEX(Tier_Obligations!$D$5:$D$8,MATCH(I45,Tier_Obligations!$A$5:$A$8,0))</f>
        <v>30</v>
      </c>
      <c r="L45" s="81">
        <v>46258</v>
      </c>
      <c r="M45" s="81">
        <f t="shared" si="1"/>
        <v>46288</v>
      </c>
      <c r="N45" s="80" t="s">
        <v>1463</v>
      </c>
      <c r="O45" s="80" t="str">
        <f>IF(N45="Closed","Closed",IF(M45&lt;Config!$B$4,"Overdue","On track"))</f>
        <v>Overdue</v>
      </c>
      <c r="P45" s="80" t="s">
        <v>1471</v>
      </c>
      <c r="Q45" s="80" t="s">
        <v>1466</v>
      </c>
    </row>
    <row r="46" spans="1:17" ht="26.4" x14ac:dyDescent="0.3">
      <c r="A46" s="80" t="s">
        <v>1529</v>
      </c>
      <c r="B46" s="80" t="s">
        <v>1358</v>
      </c>
      <c r="C46" s="80" t="s">
        <v>1112</v>
      </c>
      <c r="D46" s="80" t="str">
        <f>INDEX(Syn_AI_Inventory!$B$5:$B$34,MATCH(C46,Syn_AI_Inventory!$A$5:$A$34,0))</f>
        <v>Synthetic Training Video Generator</v>
      </c>
      <c r="E46" s="80" t="s">
        <v>787</v>
      </c>
      <c r="F46" s="80" t="s">
        <v>1445</v>
      </c>
      <c r="G46" s="80" t="s">
        <v>1505</v>
      </c>
      <c r="H46" s="80" t="s">
        <v>1506</v>
      </c>
      <c r="I46" s="80" t="str">
        <f>INDEX(Syn_Tiering!$Q$5:$Q$34,MATCH(C46,Syn_Tiering!$A$5:$A$34,0))</f>
        <v>T2 - Elevated</v>
      </c>
      <c r="J46" s="80" t="str">
        <f>INDEX(Tier_Obligations!$C$5:$C$8,MATCH(I46,Tier_Obligations!$A$5:$A$8,0))</f>
        <v>P2</v>
      </c>
      <c r="K46" s="80">
        <f>INDEX(Tier_Obligations!$D$5:$D$8,MATCH(I46,Tier_Obligations!$A$5:$A$8,0))</f>
        <v>60</v>
      </c>
      <c r="L46" s="81">
        <v>46275</v>
      </c>
      <c r="M46" s="81">
        <f t="shared" si="1"/>
        <v>46335</v>
      </c>
      <c r="N46" s="80" t="s">
        <v>1454</v>
      </c>
      <c r="O46" s="80" t="str">
        <f>IF(N46="Closed","Closed",IF(M46&lt;Config!$B$4,"Overdue","On track"))</f>
        <v>Closed</v>
      </c>
      <c r="P46" s="80" t="s">
        <v>1449</v>
      </c>
      <c r="Q46" s="80" t="s">
        <v>1458</v>
      </c>
    </row>
    <row r="47" spans="1:17" ht="26.4" x14ac:dyDescent="0.3">
      <c r="A47" s="80" t="s">
        <v>1530</v>
      </c>
      <c r="B47" s="80" t="s">
        <v>1359</v>
      </c>
      <c r="C47" s="80" t="s">
        <v>1112</v>
      </c>
      <c r="D47" s="80" t="str">
        <f>INDEX(Syn_AI_Inventory!$B$5:$B$34,MATCH(C47,Syn_AI_Inventory!$A$5:$A$34,0))</f>
        <v>Synthetic Training Video Generator</v>
      </c>
      <c r="E47" s="80" t="s">
        <v>895</v>
      </c>
      <c r="F47" s="80" t="s">
        <v>1456</v>
      </c>
      <c r="G47" s="80" t="s">
        <v>1499</v>
      </c>
      <c r="H47" s="80" t="s">
        <v>1500</v>
      </c>
      <c r="I47" s="80" t="str">
        <f>INDEX(Syn_Tiering!$Q$5:$Q$34,MATCH(C47,Syn_Tiering!$A$5:$A$34,0))</f>
        <v>T2 - Elevated</v>
      </c>
      <c r="J47" s="80" t="str">
        <f>INDEX(Tier_Obligations!$C$5:$C$8,MATCH(I47,Tier_Obligations!$A$5:$A$8,0))</f>
        <v>P2</v>
      </c>
      <c r="K47" s="80">
        <f>INDEX(Tier_Obligations!$D$5:$D$8,MATCH(I47,Tier_Obligations!$A$5:$A$8,0))</f>
        <v>60</v>
      </c>
      <c r="L47" s="81">
        <v>46245</v>
      </c>
      <c r="M47" s="81">
        <f t="shared" si="1"/>
        <v>46305</v>
      </c>
      <c r="N47" s="80" t="s">
        <v>1463</v>
      </c>
      <c r="O47" s="80" t="str">
        <f>IF(N47="Closed","Closed",IF(M47&lt;Config!$B$4,"Overdue","On track"))</f>
        <v>On track</v>
      </c>
      <c r="P47" s="80" t="s">
        <v>1471</v>
      </c>
      <c r="Q47" s="80" t="s">
        <v>1458</v>
      </c>
    </row>
    <row r="48" spans="1:17" ht="26.4" x14ac:dyDescent="0.3">
      <c r="A48" s="80" t="s">
        <v>1531</v>
      </c>
      <c r="B48" s="80" t="s">
        <v>1361</v>
      </c>
      <c r="C48" s="80" t="s">
        <v>1112</v>
      </c>
      <c r="D48" s="80" t="str">
        <f>INDEX(Syn_AI_Inventory!$B$5:$B$34,MATCH(C48,Syn_AI_Inventory!$A$5:$A$34,0))</f>
        <v>Synthetic Training Video Generator</v>
      </c>
      <c r="E48" s="80" t="s">
        <v>901</v>
      </c>
      <c r="F48" s="80" t="s">
        <v>1445</v>
      </c>
      <c r="G48" s="80" t="s">
        <v>1468</v>
      </c>
      <c r="H48" s="80" t="s">
        <v>1469</v>
      </c>
      <c r="I48" s="80" t="str">
        <f>INDEX(Syn_Tiering!$Q$5:$Q$34,MATCH(C48,Syn_Tiering!$A$5:$A$34,0))</f>
        <v>T2 - Elevated</v>
      </c>
      <c r="J48" s="80" t="str">
        <f>INDEX(Tier_Obligations!$C$5:$C$8,MATCH(I48,Tier_Obligations!$A$5:$A$8,0))</f>
        <v>P2</v>
      </c>
      <c r="K48" s="80">
        <f>INDEX(Tier_Obligations!$D$5:$D$8,MATCH(I48,Tier_Obligations!$A$5:$A$8,0))</f>
        <v>60</v>
      </c>
      <c r="L48" s="81">
        <v>46286</v>
      </c>
      <c r="M48" s="81">
        <f t="shared" si="1"/>
        <v>46346</v>
      </c>
      <c r="N48" s="80" t="s">
        <v>1448</v>
      </c>
      <c r="O48" s="80" t="str">
        <f>IF(N48="Closed","Closed",IF(M48&lt;Config!$B$4,"Overdue","On track"))</f>
        <v>On track</v>
      </c>
      <c r="P48" s="80" t="s">
        <v>1449</v>
      </c>
      <c r="Q48" s="80" t="s">
        <v>1458</v>
      </c>
    </row>
    <row r="49" spans="1:17" ht="26.4" x14ac:dyDescent="0.3">
      <c r="A49" s="80" t="s">
        <v>1532</v>
      </c>
      <c r="B49" s="80" t="s">
        <v>1366</v>
      </c>
      <c r="C49" s="80" t="s">
        <v>1116</v>
      </c>
      <c r="D49" s="80" t="str">
        <f>INDEX(Syn_AI_Inventory!$B$5:$B$34,MATCH(C49,Syn_AI_Inventory!$A$5:$A$34,0))</f>
        <v>AML Transaction Monitoring</v>
      </c>
      <c r="E49" s="80" t="s">
        <v>787</v>
      </c>
      <c r="F49" s="80" t="s">
        <v>1456</v>
      </c>
      <c r="G49" s="80" t="s">
        <v>1505</v>
      </c>
      <c r="H49" s="80" t="s">
        <v>1506</v>
      </c>
      <c r="I49" s="80" t="str">
        <f>INDEX(Syn_Tiering!$Q$5:$Q$34,MATCH(C49,Syn_Tiering!$A$5:$A$34,0))</f>
        <v>T1 - Critical</v>
      </c>
      <c r="J49" s="80" t="str">
        <f>INDEX(Tier_Obligations!$C$5:$C$8,MATCH(I49,Tier_Obligations!$A$5:$A$8,0))</f>
        <v>P1</v>
      </c>
      <c r="K49" s="80">
        <f>INDEX(Tier_Obligations!$D$5:$D$8,MATCH(I49,Tier_Obligations!$A$5:$A$8,0))</f>
        <v>30</v>
      </c>
      <c r="L49" s="81">
        <v>46248</v>
      </c>
      <c r="M49" s="81">
        <f t="shared" si="1"/>
        <v>46278</v>
      </c>
      <c r="N49" s="80" t="s">
        <v>1475</v>
      </c>
      <c r="O49" s="80" t="str">
        <f>IF(N49="Closed","Closed",IF(M49&lt;Config!$B$4,"Overdue","On track"))</f>
        <v>Overdue</v>
      </c>
      <c r="P49" s="80" t="s">
        <v>1471</v>
      </c>
      <c r="Q49" s="80" t="s">
        <v>1458</v>
      </c>
    </row>
    <row r="50" spans="1:17" ht="26.4" x14ac:dyDescent="0.3">
      <c r="A50" s="80" t="s">
        <v>1533</v>
      </c>
      <c r="B50" s="80" t="s">
        <v>1372</v>
      </c>
      <c r="C50" s="80" t="s">
        <v>1122</v>
      </c>
      <c r="D50" s="80" t="str">
        <f>INDEX(Syn_AI_Inventory!$B$5:$B$34,MATCH(C50,Syn_AI_Inventory!$A$5:$A$34,0))</f>
        <v>Voice Biometric Authentication</v>
      </c>
      <c r="E50" s="80" t="s">
        <v>777</v>
      </c>
      <c r="F50" s="80" t="s">
        <v>1456</v>
      </c>
      <c r="G50" s="80" t="s">
        <v>1522</v>
      </c>
      <c r="H50" s="80" t="s">
        <v>987</v>
      </c>
      <c r="I50" s="80" t="str">
        <f>INDEX(Syn_Tiering!$Q$5:$Q$34,MATCH(C50,Syn_Tiering!$A$5:$A$34,0))</f>
        <v>T1 - Critical</v>
      </c>
      <c r="J50" s="80" t="str">
        <f>INDEX(Tier_Obligations!$C$5:$C$8,MATCH(I50,Tier_Obligations!$A$5:$A$8,0))</f>
        <v>P1</v>
      </c>
      <c r="K50" s="80">
        <f>INDEX(Tier_Obligations!$D$5:$D$8,MATCH(I50,Tier_Obligations!$A$5:$A$8,0))</f>
        <v>30</v>
      </c>
      <c r="L50" s="81">
        <v>46260</v>
      </c>
      <c r="M50" s="81">
        <f t="shared" si="1"/>
        <v>46290</v>
      </c>
      <c r="N50" s="80" t="s">
        <v>1463</v>
      </c>
      <c r="O50" s="80" t="str">
        <f>IF(N50="Closed","Closed",IF(M50&lt;Config!$B$4,"Overdue","On track"))</f>
        <v>Overdue</v>
      </c>
      <c r="P50" s="80" t="s">
        <v>1449</v>
      </c>
      <c r="Q50" s="80" t="s">
        <v>1458</v>
      </c>
    </row>
    <row r="51" spans="1:17" ht="26.4" x14ac:dyDescent="0.3">
      <c r="A51" s="80" t="s">
        <v>1534</v>
      </c>
      <c r="B51" s="80" t="s">
        <v>1376</v>
      </c>
      <c r="C51" s="80" t="s">
        <v>1122</v>
      </c>
      <c r="D51" s="80" t="str">
        <f>INDEX(Syn_AI_Inventory!$B$5:$B$34,MATCH(C51,Syn_AI_Inventory!$A$5:$A$34,0))</f>
        <v>Voice Biometric Authentication</v>
      </c>
      <c r="E51" s="80" t="s">
        <v>647</v>
      </c>
      <c r="F51" s="80" t="s">
        <v>1445</v>
      </c>
      <c r="G51" s="80" t="s">
        <v>1517</v>
      </c>
      <c r="H51" s="80" t="s">
        <v>1447</v>
      </c>
      <c r="I51" s="80" t="str">
        <f>INDEX(Syn_Tiering!$Q$5:$Q$34,MATCH(C51,Syn_Tiering!$A$5:$A$34,0))</f>
        <v>T1 - Critical</v>
      </c>
      <c r="J51" s="80" t="str">
        <f>INDEX(Tier_Obligations!$C$5:$C$8,MATCH(I51,Tier_Obligations!$A$5:$A$8,0))</f>
        <v>P1</v>
      </c>
      <c r="K51" s="80">
        <f>INDEX(Tier_Obligations!$D$5:$D$8,MATCH(I51,Tier_Obligations!$A$5:$A$8,0))</f>
        <v>30</v>
      </c>
      <c r="L51" s="81">
        <v>46277</v>
      </c>
      <c r="M51" s="81">
        <f t="shared" si="1"/>
        <v>46307</v>
      </c>
      <c r="N51" s="80" t="s">
        <v>1463</v>
      </c>
      <c r="O51" s="80" t="str">
        <f>IF(N51="Closed","Closed",IF(M51&lt;Config!$B$4,"Overdue","On track"))</f>
        <v>On track</v>
      </c>
      <c r="P51" s="80" t="s">
        <v>1471</v>
      </c>
      <c r="Q51" s="80" t="s">
        <v>1458</v>
      </c>
    </row>
    <row r="52" spans="1:17" ht="26.4" x14ac:dyDescent="0.3">
      <c r="A52" s="80" t="s">
        <v>1535</v>
      </c>
      <c r="B52" s="80" t="s">
        <v>1377</v>
      </c>
      <c r="C52" s="80" t="s">
        <v>1122</v>
      </c>
      <c r="D52" s="80" t="str">
        <f>INDEX(Syn_AI_Inventory!$B$5:$B$34,MATCH(C52,Syn_AI_Inventory!$A$5:$A$34,0))</f>
        <v>Voice Biometric Authentication</v>
      </c>
      <c r="E52" s="80" t="s">
        <v>909</v>
      </c>
      <c r="F52" s="80" t="s">
        <v>1456</v>
      </c>
      <c r="G52" s="80" t="s">
        <v>1492</v>
      </c>
      <c r="H52" s="80" t="s">
        <v>1493</v>
      </c>
      <c r="I52" s="80" t="str">
        <f>INDEX(Syn_Tiering!$Q$5:$Q$34,MATCH(C52,Syn_Tiering!$A$5:$A$34,0))</f>
        <v>T1 - Critical</v>
      </c>
      <c r="J52" s="80" t="str">
        <f>INDEX(Tier_Obligations!$C$5:$C$8,MATCH(I52,Tier_Obligations!$A$5:$A$8,0))</f>
        <v>P1</v>
      </c>
      <c r="K52" s="80">
        <f>INDEX(Tier_Obligations!$D$5:$D$8,MATCH(I52,Tier_Obligations!$A$5:$A$8,0))</f>
        <v>30</v>
      </c>
      <c r="L52" s="81">
        <v>46263</v>
      </c>
      <c r="M52" s="81">
        <f t="shared" si="1"/>
        <v>46293</v>
      </c>
      <c r="N52" s="80" t="s">
        <v>1454</v>
      </c>
      <c r="O52" s="80" t="str">
        <f>IF(N52="Closed","Closed",IF(M52&lt;Config!$B$4,"Overdue","On track"))</f>
        <v>Closed</v>
      </c>
      <c r="P52" s="80" t="s">
        <v>1449</v>
      </c>
      <c r="Q52" s="80" t="s">
        <v>1458</v>
      </c>
    </row>
    <row r="53" spans="1:17" ht="26.4" x14ac:dyDescent="0.3">
      <c r="A53" s="80" t="s">
        <v>1536</v>
      </c>
      <c r="B53" s="80" t="s">
        <v>1386</v>
      </c>
      <c r="C53" s="80" t="s">
        <v>1130</v>
      </c>
      <c r="D53" s="80" t="str">
        <f>INDEX(Syn_AI_Inventory!$B$5:$B$34,MATCH(C53,Syn_AI_Inventory!$A$5:$A$34,0))</f>
        <v>Customer Churn Predictor</v>
      </c>
      <c r="E53" s="80" t="s">
        <v>777</v>
      </c>
      <c r="F53" s="80" t="s">
        <v>1445</v>
      </c>
      <c r="G53" s="80" t="s">
        <v>1522</v>
      </c>
      <c r="H53" s="80" t="s">
        <v>987</v>
      </c>
      <c r="I53" s="80" t="str">
        <f>INDEX(Syn_Tiering!$Q$5:$Q$34,MATCH(C53,Syn_Tiering!$A$5:$A$34,0))</f>
        <v>T3 - Standard</v>
      </c>
      <c r="J53" s="80" t="str">
        <f>INDEX(Tier_Obligations!$C$5:$C$8,MATCH(I53,Tier_Obligations!$A$5:$A$8,0))</f>
        <v>P3</v>
      </c>
      <c r="K53" s="80">
        <f>INDEX(Tier_Obligations!$D$5:$D$8,MATCH(I53,Tier_Obligations!$A$5:$A$8,0))</f>
        <v>120</v>
      </c>
      <c r="L53" s="81">
        <v>46240</v>
      </c>
      <c r="M53" s="81">
        <f t="shared" si="1"/>
        <v>46360</v>
      </c>
      <c r="N53" s="80" t="s">
        <v>1475</v>
      </c>
      <c r="O53" s="80" t="str">
        <f>IF(N53="Closed","Closed",IF(M53&lt;Config!$B$4,"Overdue","On track"))</f>
        <v>On track</v>
      </c>
      <c r="P53" s="80" t="s">
        <v>1449</v>
      </c>
      <c r="Q53" s="80" t="s">
        <v>1466</v>
      </c>
    </row>
    <row r="54" spans="1:17" ht="26.4" x14ac:dyDescent="0.3">
      <c r="A54" s="80" t="s">
        <v>1537</v>
      </c>
      <c r="B54" s="80" t="s">
        <v>1387</v>
      </c>
      <c r="C54" s="80" t="s">
        <v>1130</v>
      </c>
      <c r="D54" s="80" t="str">
        <f>INDEX(Syn_AI_Inventory!$B$5:$B$34,MATCH(C54,Syn_AI_Inventory!$A$5:$A$34,0))</f>
        <v>Customer Churn Predictor</v>
      </c>
      <c r="E54" s="80" t="s">
        <v>909</v>
      </c>
      <c r="F54" s="80" t="s">
        <v>1445</v>
      </c>
      <c r="G54" s="80" t="s">
        <v>1492</v>
      </c>
      <c r="H54" s="80" t="s">
        <v>1493</v>
      </c>
      <c r="I54" s="80" t="str">
        <f>INDEX(Syn_Tiering!$Q$5:$Q$34,MATCH(C54,Syn_Tiering!$A$5:$A$34,0))</f>
        <v>T3 - Standard</v>
      </c>
      <c r="J54" s="80" t="str">
        <f>INDEX(Tier_Obligations!$C$5:$C$8,MATCH(I54,Tier_Obligations!$A$5:$A$8,0))</f>
        <v>P3</v>
      </c>
      <c r="K54" s="80">
        <f>INDEX(Tier_Obligations!$D$5:$D$8,MATCH(I54,Tier_Obligations!$A$5:$A$8,0))</f>
        <v>120</v>
      </c>
      <c r="L54" s="81">
        <v>46287</v>
      </c>
      <c r="M54" s="81">
        <f t="shared" si="1"/>
        <v>46407</v>
      </c>
      <c r="N54" s="80" t="s">
        <v>1463</v>
      </c>
      <c r="O54" s="80" t="str">
        <f>IF(N54="Closed","Closed",IF(M54&lt;Config!$B$4,"Overdue","On track"))</f>
        <v>On track</v>
      </c>
      <c r="P54" s="80" t="s">
        <v>1471</v>
      </c>
      <c r="Q54" s="80" t="s">
        <v>1450</v>
      </c>
    </row>
    <row r="55" spans="1:17" ht="26.4" x14ac:dyDescent="0.3">
      <c r="A55" s="80" t="s">
        <v>1538</v>
      </c>
      <c r="B55" s="80" t="s">
        <v>1388</v>
      </c>
      <c r="C55" s="80" t="s">
        <v>1134</v>
      </c>
      <c r="D55" s="80" t="str">
        <f>INDEX(Syn_AI_Inventory!$B$5:$B$34,MATCH(C55,Syn_AI_Inventory!$A$5:$A$34,0))</f>
        <v>Credit Limit Increase Recommender</v>
      </c>
      <c r="E55" s="80" t="s">
        <v>777</v>
      </c>
      <c r="F55" s="80" t="s">
        <v>1445</v>
      </c>
      <c r="G55" s="80" t="s">
        <v>1522</v>
      </c>
      <c r="H55" s="80" t="s">
        <v>987</v>
      </c>
      <c r="I55" s="80" t="str">
        <f>INDEX(Syn_Tiering!$Q$5:$Q$34,MATCH(C55,Syn_Tiering!$A$5:$A$34,0))</f>
        <v>T1 - Critical</v>
      </c>
      <c r="J55" s="80" t="str">
        <f>INDEX(Tier_Obligations!$C$5:$C$8,MATCH(I55,Tier_Obligations!$A$5:$A$8,0))</f>
        <v>P1</v>
      </c>
      <c r="K55" s="80">
        <f>INDEX(Tier_Obligations!$D$5:$D$8,MATCH(I55,Tier_Obligations!$A$5:$A$8,0))</f>
        <v>30</v>
      </c>
      <c r="L55" s="81">
        <v>46277</v>
      </c>
      <c r="M55" s="81">
        <f t="shared" si="1"/>
        <v>46307</v>
      </c>
      <c r="N55" s="80" t="s">
        <v>1454</v>
      </c>
      <c r="O55" s="80" t="str">
        <f>IF(N55="Closed","Closed",IF(M55&lt;Config!$B$4,"Overdue","On track"))</f>
        <v>Closed</v>
      </c>
      <c r="P55" s="80" t="s">
        <v>1449</v>
      </c>
      <c r="Q55" s="80" t="s">
        <v>1450</v>
      </c>
    </row>
    <row r="56" spans="1:17" ht="26.4" x14ac:dyDescent="0.3">
      <c r="A56" s="80" t="s">
        <v>1539</v>
      </c>
      <c r="B56" s="80" t="s">
        <v>1395</v>
      </c>
      <c r="C56" s="80" t="s">
        <v>1134</v>
      </c>
      <c r="D56" s="80" t="str">
        <f>INDEX(Syn_AI_Inventory!$B$5:$B$34,MATCH(C56,Syn_AI_Inventory!$A$5:$A$34,0))</f>
        <v>Credit Limit Increase Recommender</v>
      </c>
      <c r="E56" s="80" t="s">
        <v>867</v>
      </c>
      <c r="F56" s="80" t="s">
        <v>1445</v>
      </c>
      <c r="G56" s="80" t="s">
        <v>1540</v>
      </c>
      <c r="H56" s="80" t="s">
        <v>1488</v>
      </c>
      <c r="I56" s="80" t="str">
        <f>INDEX(Syn_Tiering!$Q$5:$Q$34,MATCH(C56,Syn_Tiering!$A$5:$A$34,0))</f>
        <v>T1 - Critical</v>
      </c>
      <c r="J56" s="80" t="str">
        <f>INDEX(Tier_Obligations!$C$5:$C$8,MATCH(I56,Tier_Obligations!$A$5:$A$8,0))</f>
        <v>P1</v>
      </c>
      <c r="K56" s="80">
        <f>INDEX(Tier_Obligations!$D$5:$D$8,MATCH(I56,Tier_Obligations!$A$5:$A$8,0))</f>
        <v>30</v>
      </c>
      <c r="L56" s="81">
        <v>46251</v>
      </c>
      <c r="M56" s="81">
        <f t="shared" si="1"/>
        <v>46281</v>
      </c>
      <c r="N56" s="80" t="s">
        <v>1463</v>
      </c>
      <c r="O56" s="80" t="str">
        <f>IF(N56="Closed","Closed",IF(M56&lt;Config!$B$4,"Overdue","On track"))</f>
        <v>Overdue</v>
      </c>
      <c r="P56" s="80" t="s">
        <v>1449</v>
      </c>
      <c r="Q56" s="80" t="s">
        <v>1458</v>
      </c>
    </row>
    <row r="57" spans="1:17" ht="26.4" x14ac:dyDescent="0.3">
      <c r="A57" s="80" t="s">
        <v>1541</v>
      </c>
      <c r="B57" s="80" t="s">
        <v>1400</v>
      </c>
      <c r="C57" s="80" t="s">
        <v>1134</v>
      </c>
      <c r="D57" s="80" t="str">
        <f>INDEX(Syn_AI_Inventory!$B$5:$B$34,MATCH(C57,Syn_AI_Inventory!$A$5:$A$34,0))</f>
        <v>Credit Limit Increase Recommender</v>
      </c>
      <c r="E57" s="80" t="s">
        <v>916</v>
      </c>
      <c r="F57" s="80" t="s">
        <v>1456</v>
      </c>
      <c r="G57" s="80" t="s">
        <v>1527</v>
      </c>
      <c r="H57" s="80" t="s">
        <v>1515</v>
      </c>
      <c r="I57" s="80" t="str">
        <f>INDEX(Syn_Tiering!$Q$5:$Q$34,MATCH(C57,Syn_Tiering!$A$5:$A$34,0))</f>
        <v>T1 - Critical</v>
      </c>
      <c r="J57" s="80" t="str">
        <f>INDEX(Tier_Obligations!$C$5:$C$8,MATCH(I57,Tier_Obligations!$A$5:$A$8,0))</f>
        <v>P1</v>
      </c>
      <c r="K57" s="80">
        <f>INDEX(Tier_Obligations!$D$5:$D$8,MATCH(I57,Tier_Obligations!$A$5:$A$8,0))</f>
        <v>30</v>
      </c>
      <c r="L57" s="81">
        <v>46277</v>
      </c>
      <c r="M57" s="81">
        <f t="shared" si="1"/>
        <v>46307</v>
      </c>
      <c r="N57" s="80" t="s">
        <v>1448</v>
      </c>
      <c r="O57" s="80" t="str">
        <f>IF(N57="Closed","Closed",IF(M57&lt;Config!$B$4,"Overdue","On track"))</f>
        <v>On track</v>
      </c>
      <c r="P57" s="80" t="s">
        <v>1449</v>
      </c>
      <c r="Q57" s="80" t="s">
        <v>1458</v>
      </c>
    </row>
    <row r="58" spans="1:17" ht="26.4" x14ac:dyDescent="0.3">
      <c r="A58" s="80" t="s">
        <v>1542</v>
      </c>
      <c r="B58" s="80" t="s">
        <v>1402</v>
      </c>
      <c r="C58" s="80" t="s">
        <v>1137</v>
      </c>
      <c r="D58" s="80" t="str">
        <f>INDEX(Syn_AI_Inventory!$B$5:$B$34,MATCH(C58,Syn_AI_Inventory!$A$5:$A$34,0))</f>
        <v>Health Underwriting Assistant</v>
      </c>
      <c r="E58" s="80" t="s">
        <v>802</v>
      </c>
      <c r="F58" s="80" t="s">
        <v>1456</v>
      </c>
      <c r="G58" s="80" t="s">
        <v>1452</v>
      </c>
      <c r="H58" s="80" t="s">
        <v>1453</v>
      </c>
      <c r="I58" s="80" t="str">
        <f>INDEX(Syn_Tiering!$Q$5:$Q$34,MATCH(C58,Syn_Tiering!$A$5:$A$34,0))</f>
        <v>T1 - Critical</v>
      </c>
      <c r="J58" s="80" t="str">
        <f>INDEX(Tier_Obligations!$C$5:$C$8,MATCH(I58,Tier_Obligations!$A$5:$A$8,0))</f>
        <v>P1</v>
      </c>
      <c r="K58" s="80">
        <f>INDEX(Tier_Obligations!$D$5:$D$8,MATCH(I58,Tier_Obligations!$A$5:$A$8,0))</f>
        <v>30</v>
      </c>
      <c r="L58" s="81">
        <v>46283</v>
      </c>
      <c r="M58" s="81">
        <f t="shared" si="1"/>
        <v>46313</v>
      </c>
      <c r="N58" s="80" t="s">
        <v>1448</v>
      </c>
      <c r="O58" s="80" t="str">
        <f>IF(N58="Closed","Closed",IF(M58&lt;Config!$B$4,"Overdue","On track"))</f>
        <v>On track</v>
      </c>
      <c r="P58" s="80" t="s">
        <v>1449</v>
      </c>
      <c r="Q58" s="80" t="s">
        <v>1458</v>
      </c>
    </row>
    <row r="59" spans="1:17" ht="26.4" x14ac:dyDescent="0.3">
      <c r="A59" s="80" t="s">
        <v>1543</v>
      </c>
      <c r="B59" s="80" t="s">
        <v>1410</v>
      </c>
      <c r="C59" s="80" t="s">
        <v>1137</v>
      </c>
      <c r="D59" s="80" t="str">
        <f>INDEX(Syn_AI_Inventory!$B$5:$B$34,MATCH(C59,Syn_AI_Inventory!$A$5:$A$34,0))</f>
        <v>Health Underwriting Assistant</v>
      </c>
      <c r="E59" s="80" t="s">
        <v>660</v>
      </c>
      <c r="F59" s="80" t="s">
        <v>1445</v>
      </c>
      <c r="G59" s="80" t="s">
        <v>1544</v>
      </c>
      <c r="H59" s="80" t="s">
        <v>1488</v>
      </c>
      <c r="I59" s="80" t="str">
        <f>INDEX(Syn_Tiering!$Q$5:$Q$34,MATCH(C59,Syn_Tiering!$A$5:$A$34,0))</f>
        <v>T1 - Critical</v>
      </c>
      <c r="J59" s="80" t="str">
        <f>INDEX(Tier_Obligations!$C$5:$C$8,MATCH(I59,Tier_Obligations!$A$5:$A$8,0))</f>
        <v>P1</v>
      </c>
      <c r="K59" s="80">
        <f>INDEX(Tier_Obligations!$D$5:$D$8,MATCH(I59,Tier_Obligations!$A$5:$A$8,0))</f>
        <v>30</v>
      </c>
      <c r="L59" s="81">
        <v>46280</v>
      </c>
      <c r="M59" s="81">
        <f t="shared" si="1"/>
        <v>46310</v>
      </c>
      <c r="N59" s="80" t="s">
        <v>1448</v>
      </c>
      <c r="O59" s="80" t="str">
        <f>IF(N59="Closed","Closed",IF(M59&lt;Config!$B$4,"Overdue","On track"))</f>
        <v>On track</v>
      </c>
      <c r="P59" s="80" t="s">
        <v>1471</v>
      </c>
      <c r="Q59" s="80" t="s">
        <v>1458</v>
      </c>
    </row>
    <row r="60" spans="1:17" ht="26.4" x14ac:dyDescent="0.3">
      <c r="A60" s="80" t="s">
        <v>1545</v>
      </c>
      <c r="B60" s="80" t="s">
        <v>1417</v>
      </c>
      <c r="C60" s="80" t="s">
        <v>1141</v>
      </c>
      <c r="D60" s="80" t="str">
        <f>INDEX(Syn_AI_Inventory!$B$5:$B$34,MATCH(C60,Syn_AI_Inventory!$A$5:$A$34,0))</f>
        <v>Video Interview Analyser</v>
      </c>
      <c r="E60" s="80" t="s">
        <v>937</v>
      </c>
      <c r="F60" s="80" t="s">
        <v>1456</v>
      </c>
      <c r="G60" s="80" t="s">
        <v>1495</v>
      </c>
      <c r="H60" s="80" t="s">
        <v>1496</v>
      </c>
      <c r="I60" s="80" t="str">
        <f>INDEX(Syn_Tiering!$Q$5:$Q$34,MATCH(C60,Syn_Tiering!$A$5:$A$34,0))</f>
        <v>T0 - Stop</v>
      </c>
      <c r="J60" s="80" t="str">
        <f>INDEX(Tier_Obligations!$C$5:$C$8,MATCH(I60,Tier_Obligations!$A$5:$A$8,0))</f>
        <v>P0</v>
      </c>
      <c r="K60" s="80">
        <f>INDEX(Tier_Obligations!$D$5:$D$8,MATCH(I60,Tier_Obligations!$A$5:$A$8,0))</f>
        <v>7</v>
      </c>
      <c r="L60" s="81">
        <v>46238</v>
      </c>
      <c r="M60" s="81">
        <f t="shared" si="1"/>
        <v>46245</v>
      </c>
      <c r="N60" s="80" t="s">
        <v>1448</v>
      </c>
      <c r="O60" s="80" t="str">
        <f>IF(N60="Closed","Closed",IF(M60&lt;Config!$B$4,"Overdue","On track"))</f>
        <v>Overdue</v>
      </c>
      <c r="P60" s="80" t="s">
        <v>1449</v>
      </c>
      <c r="Q60" s="80" t="s">
        <v>1458</v>
      </c>
    </row>
    <row r="61" spans="1:17" ht="26.4" x14ac:dyDescent="0.3">
      <c r="A61" s="80" t="s">
        <v>1546</v>
      </c>
      <c r="B61" s="80" t="s">
        <v>1420</v>
      </c>
      <c r="C61" s="80" t="s">
        <v>1145</v>
      </c>
      <c r="D61" s="80" t="str">
        <f>INDEX(Syn_AI_Inventory!$B$5:$B$34,MATCH(C61,Syn_AI_Inventory!$A$5:$A$34,0))</f>
        <v>Test Data Synthesiser</v>
      </c>
      <c r="E61" s="80" t="s">
        <v>777</v>
      </c>
      <c r="F61" s="80" t="s">
        <v>1456</v>
      </c>
      <c r="G61" s="80" t="s">
        <v>1522</v>
      </c>
      <c r="H61" s="80" t="s">
        <v>987</v>
      </c>
      <c r="I61" s="80" t="str">
        <f>INDEX(Syn_Tiering!$Q$5:$Q$34,MATCH(C61,Syn_Tiering!$A$5:$A$34,0))</f>
        <v>T3 - Standard</v>
      </c>
      <c r="J61" s="80" t="str">
        <f>INDEX(Tier_Obligations!$C$5:$C$8,MATCH(I61,Tier_Obligations!$A$5:$A$8,0))</f>
        <v>P3</v>
      </c>
      <c r="K61" s="80">
        <f>INDEX(Tier_Obligations!$D$5:$D$8,MATCH(I61,Tier_Obligations!$A$5:$A$8,0))</f>
        <v>120</v>
      </c>
      <c r="L61" s="81">
        <v>46244</v>
      </c>
      <c r="M61" s="81">
        <f t="shared" si="1"/>
        <v>46364</v>
      </c>
      <c r="N61" s="80" t="s">
        <v>1454</v>
      </c>
      <c r="O61" s="80" t="str">
        <f>IF(N61="Closed","Closed",IF(M61&lt;Config!$B$4,"Overdue","On track"))</f>
        <v>Closed</v>
      </c>
      <c r="P61" s="80" t="s">
        <v>1471</v>
      </c>
      <c r="Q61" s="80" t="s">
        <v>1458</v>
      </c>
    </row>
  </sheetData>
  <conditionalFormatting sqref="O5:O61">
    <cfRule type="cellIs" dxfId="2" priority="2" operator="equal">
      <formula>"Overdue"</formula>
    </cfRule>
  </conditionalFormatting>
  <dataValidations count="1">
    <dataValidation type="list" allowBlank="1" sqref="N5:N61" xr:uid="{00000000-0002-0000-0D00-000000000000}">
      <formula1>"Not Started,In Progress,Pending Validation,Closed"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70C0"/>
  </sheetPr>
  <dimension ref="A1:N30"/>
  <sheetViews>
    <sheetView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6" sqref="C6"/>
    </sheetView>
  </sheetViews>
  <sheetFormatPr defaultColWidth="8.77734375" defaultRowHeight="14.4" x14ac:dyDescent="0.3"/>
  <cols>
    <col min="1" max="1" width="9" customWidth="1"/>
    <col min="2" max="2" width="12" customWidth="1"/>
    <col min="3" max="3" width="9" customWidth="1"/>
    <col min="4" max="4" width="28" customWidth="1"/>
    <col min="5" max="5" width="16" customWidth="1"/>
    <col min="6" max="6" width="23.88671875" customWidth="1"/>
    <col min="7" max="7" width="16" customWidth="1"/>
    <col min="8" max="8" width="46" customWidth="1"/>
    <col min="9" max="9" width="9.88671875" customWidth="1"/>
    <col min="10" max="10" width="18" customWidth="1"/>
    <col min="11" max="11" width="9.88671875" customWidth="1"/>
    <col min="12" max="12" width="16.109375" customWidth="1"/>
    <col min="13" max="13" width="13" customWidth="1"/>
    <col min="14" max="14" width="30" customWidth="1"/>
  </cols>
  <sheetData>
    <row r="1" spans="1:14" ht="17.399999999999999" x14ac:dyDescent="0.3">
      <c r="A1" s="4" t="s">
        <v>1547</v>
      </c>
    </row>
    <row r="2" spans="1:14" x14ac:dyDescent="0.3">
      <c r="A2" s="5" t="s">
        <v>1548</v>
      </c>
    </row>
    <row r="4" spans="1:14" s="79" customFormat="1" ht="43.5" customHeight="1" x14ac:dyDescent="0.3">
      <c r="A4" s="78" t="s">
        <v>1549</v>
      </c>
      <c r="B4" s="78" t="s">
        <v>1550</v>
      </c>
      <c r="C4" s="78" t="s">
        <v>985</v>
      </c>
      <c r="D4" s="78" t="s">
        <v>986</v>
      </c>
      <c r="E4" s="78" t="s">
        <v>1189</v>
      </c>
      <c r="F4" s="78" t="s">
        <v>1551</v>
      </c>
      <c r="G4" s="78" t="s">
        <v>1552</v>
      </c>
      <c r="H4" s="78" t="s">
        <v>975</v>
      </c>
      <c r="I4" s="78" t="s">
        <v>1553</v>
      </c>
      <c r="J4" s="78" t="s">
        <v>1554</v>
      </c>
      <c r="K4" s="78" t="s">
        <v>1555</v>
      </c>
      <c r="L4" s="78" t="s">
        <v>1556</v>
      </c>
      <c r="M4" s="78" t="s">
        <v>1557</v>
      </c>
      <c r="N4" s="78" t="s">
        <v>1558</v>
      </c>
    </row>
    <row r="5" spans="1:14" ht="26.4" x14ac:dyDescent="0.3">
      <c r="A5" s="80" t="s">
        <v>1559</v>
      </c>
      <c r="B5" s="81">
        <v>46288</v>
      </c>
      <c r="C5" s="80" t="s">
        <v>1137</v>
      </c>
      <c r="D5" s="80" t="str">
        <f>INDEX(Syn_AI_Inventory!$B$5:$B$34,MATCH(C5,Syn_AI_Inventory!$A$5:$A$34,0))</f>
        <v>Health Underwriting Assistant</v>
      </c>
      <c r="E5" s="80" t="str">
        <f>INDEX(Syn_Tiering!$Q$5:$Q$34,MATCH(C5,Syn_Tiering!$A$5:$A$34,0))</f>
        <v>T1 - Critical</v>
      </c>
      <c r="F5" s="80" t="s">
        <v>1560</v>
      </c>
      <c r="G5" s="80" t="s">
        <v>1561</v>
      </c>
      <c r="H5" s="80" t="s">
        <v>1562</v>
      </c>
      <c r="I5" s="80" t="s">
        <v>785</v>
      </c>
      <c r="J5" s="80" t="s">
        <v>1563</v>
      </c>
      <c r="K5" s="80" t="str">
        <f t="shared" ref="K5:K30" si="0">IF(OR(F5="Change in intended purpose",F5="Model / vendor update",F5="New use case",I5="High",I5="Critical"),"Yes","No")</f>
        <v>Yes</v>
      </c>
      <c r="L5" s="80" t="str">
        <f t="shared" ref="L5:L30" si="1">IF(AND(OR(LEFT(E5,2)="T1",LEFT(E5,2)="T0"),OR(F5="Serious incident",I5="Critical")),"Yes","No")</f>
        <v>No</v>
      </c>
      <c r="M5" s="80" t="s">
        <v>1564</v>
      </c>
      <c r="N5" s="80" t="s">
        <v>1565</v>
      </c>
    </row>
    <row r="6" spans="1:14" ht="26.4" x14ac:dyDescent="0.3">
      <c r="A6" s="80" t="s">
        <v>1566</v>
      </c>
      <c r="B6" s="81">
        <v>46245</v>
      </c>
      <c r="C6" s="80" t="s">
        <v>1020</v>
      </c>
      <c r="D6" s="80" t="str">
        <f>INDEX(Syn_AI_Inventory!$B$5:$B$34,MATCH(C6,Syn_AI_Inventory!$A$5:$A$34,0))</f>
        <v>Retail Credit Scoring Model</v>
      </c>
      <c r="E6" s="80" t="str">
        <f>INDEX(Syn_Tiering!$Q$5:$Q$34,MATCH(C6,Syn_Tiering!$A$5:$A$34,0))</f>
        <v>T1 - Critical</v>
      </c>
      <c r="F6" s="80" t="s">
        <v>1567</v>
      </c>
      <c r="G6" s="80" t="s">
        <v>1568</v>
      </c>
      <c r="H6" s="80" t="s">
        <v>1569</v>
      </c>
      <c r="I6" s="80" t="s">
        <v>785</v>
      </c>
      <c r="J6" s="80" t="s">
        <v>1563</v>
      </c>
      <c r="K6" s="80" t="str">
        <f t="shared" si="0"/>
        <v>Yes</v>
      </c>
      <c r="L6" s="80" t="str">
        <f t="shared" si="1"/>
        <v>No</v>
      </c>
      <c r="M6" s="80" t="s">
        <v>1454</v>
      </c>
      <c r="N6" s="80" t="s">
        <v>1570</v>
      </c>
    </row>
    <row r="7" spans="1:14" ht="26.4" x14ac:dyDescent="0.3">
      <c r="A7" s="80" t="s">
        <v>1571</v>
      </c>
      <c r="B7" s="81">
        <v>46239</v>
      </c>
      <c r="C7" s="80" t="s">
        <v>1060</v>
      </c>
      <c r="D7" s="80" t="str">
        <f>INDEX(Syn_AI_Inventory!$B$5:$B$34,MATCH(C7,Syn_AI_Inventory!$A$5:$A$34,0))</f>
        <v>Call-Centre Emotion Analytics</v>
      </c>
      <c r="E7" s="80" t="str">
        <f>INDEX(Syn_Tiering!$Q$5:$Q$34,MATCH(C7,Syn_Tiering!$A$5:$A$34,0))</f>
        <v>T0 - Stop</v>
      </c>
      <c r="F7" s="80" t="s">
        <v>1560</v>
      </c>
      <c r="G7" s="80" t="s">
        <v>1561</v>
      </c>
      <c r="H7" s="80" t="s">
        <v>1562</v>
      </c>
      <c r="I7" s="80" t="s">
        <v>1572</v>
      </c>
      <c r="J7" s="80" t="s">
        <v>1563</v>
      </c>
      <c r="K7" s="80" t="str">
        <f t="shared" si="0"/>
        <v>Yes</v>
      </c>
      <c r="L7" s="80" t="str">
        <f t="shared" si="1"/>
        <v>Yes</v>
      </c>
      <c r="M7" s="80" t="s">
        <v>1564</v>
      </c>
      <c r="N7" s="80" t="s">
        <v>1573</v>
      </c>
    </row>
    <row r="8" spans="1:14" x14ac:dyDescent="0.3">
      <c r="A8" s="80" t="s">
        <v>1574</v>
      </c>
      <c r="B8" s="81">
        <v>46285</v>
      </c>
      <c r="C8" s="80" t="s">
        <v>1088</v>
      </c>
      <c r="D8" s="80" t="str">
        <f>INDEX(Syn_AI_Inventory!$B$5:$B$34,MATCH(C8,Syn_AI_Inventory!$A$5:$A$34,0))</f>
        <v>Trading Anomaly Detection</v>
      </c>
      <c r="E8" s="80" t="str">
        <f>INDEX(Syn_Tiering!$Q$5:$Q$34,MATCH(C8,Syn_Tiering!$A$5:$A$34,0))</f>
        <v>T3 - Standard</v>
      </c>
      <c r="F8" s="80" t="s">
        <v>1575</v>
      </c>
      <c r="G8" s="80" t="s">
        <v>1576</v>
      </c>
      <c r="H8" s="80" t="s">
        <v>1577</v>
      </c>
      <c r="I8" s="80" t="s">
        <v>443</v>
      </c>
      <c r="J8" s="80" t="s">
        <v>1563</v>
      </c>
      <c r="K8" s="80" t="str">
        <f t="shared" si="0"/>
        <v>No</v>
      </c>
      <c r="L8" s="80" t="str">
        <f t="shared" si="1"/>
        <v>No</v>
      </c>
      <c r="M8" s="80" t="s">
        <v>1454</v>
      </c>
      <c r="N8" s="80" t="s">
        <v>1573</v>
      </c>
    </row>
    <row r="9" spans="1:14" ht="26.4" x14ac:dyDescent="0.3">
      <c r="A9" s="80" t="s">
        <v>1578</v>
      </c>
      <c r="B9" s="81">
        <v>46282</v>
      </c>
      <c r="C9" s="80" t="s">
        <v>1051</v>
      </c>
      <c r="D9" s="80" t="str">
        <f>INDEX(Syn_AI_Inventory!$B$5:$B$34,MATCH(C9,Syn_AI_Inventory!$A$5:$A$34,0))</f>
        <v>Life Insurance Pricing Model</v>
      </c>
      <c r="E9" s="80" t="str">
        <f>INDEX(Syn_Tiering!$Q$5:$Q$34,MATCH(C9,Syn_Tiering!$A$5:$A$34,0))</f>
        <v>T1 - Critical</v>
      </c>
      <c r="F9" s="80" t="s">
        <v>1560</v>
      </c>
      <c r="G9" s="80" t="s">
        <v>1561</v>
      </c>
      <c r="H9" s="80" t="s">
        <v>1562</v>
      </c>
      <c r="I9" s="80" t="s">
        <v>859</v>
      </c>
      <c r="J9" s="80" t="s">
        <v>1563</v>
      </c>
      <c r="K9" s="80" t="str">
        <f t="shared" si="0"/>
        <v>Yes</v>
      </c>
      <c r="L9" s="80" t="str">
        <f t="shared" si="1"/>
        <v>No</v>
      </c>
      <c r="M9" s="80" t="s">
        <v>1454</v>
      </c>
      <c r="N9" s="80" t="s">
        <v>1579</v>
      </c>
    </row>
    <row r="10" spans="1:14" ht="26.4" x14ac:dyDescent="0.3">
      <c r="A10" s="80" t="s">
        <v>1580</v>
      </c>
      <c r="B10" s="81">
        <v>46260</v>
      </c>
      <c r="C10" s="80" t="s">
        <v>1056</v>
      </c>
      <c r="D10" s="80" t="str">
        <f>INDEX(Syn_AI_Inventory!$B$5:$B$34,MATCH(C10,Syn_AI_Inventory!$A$5:$A$34,0))</f>
        <v>Claims Triage NLP</v>
      </c>
      <c r="E10" s="80" t="str">
        <f>INDEX(Syn_Tiering!$Q$5:$Q$34,MATCH(C10,Syn_Tiering!$A$5:$A$34,0))</f>
        <v>T2 - Elevated</v>
      </c>
      <c r="F10" s="80" t="s">
        <v>1581</v>
      </c>
      <c r="G10" s="80" t="s">
        <v>1582</v>
      </c>
      <c r="H10" s="80" t="s">
        <v>1583</v>
      </c>
      <c r="I10" s="80" t="s">
        <v>859</v>
      </c>
      <c r="J10" s="80" t="s">
        <v>1563</v>
      </c>
      <c r="K10" s="80" t="str">
        <f t="shared" si="0"/>
        <v>Yes</v>
      </c>
      <c r="L10" s="80" t="str">
        <f t="shared" si="1"/>
        <v>No</v>
      </c>
      <c r="M10" s="80" t="s">
        <v>1454</v>
      </c>
      <c r="N10" s="80" t="s">
        <v>1565</v>
      </c>
    </row>
    <row r="11" spans="1:14" ht="26.4" x14ac:dyDescent="0.3">
      <c r="A11" s="80" t="s">
        <v>1584</v>
      </c>
      <c r="B11" s="81">
        <v>46248</v>
      </c>
      <c r="C11" s="80" t="s">
        <v>1020</v>
      </c>
      <c r="D11" s="80" t="str">
        <f>INDEX(Syn_AI_Inventory!$B$5:$B$34,MATCH(C11,Syn_AI_Inventory!$A$5:$A$34,0))</f>
        <v>Retail Credit Scoring Model</v>
      </c>
      <c r="E11" s="80" t="str">
        <f>INDEX(Syn_Tiering!$Q$5:$Q$34,MATCH(C11,Syn_Tiering!$A$5:$A$34,0))</f>
        <v>T1 - Critical</v>
      </c>
      <c r="F11" s="80" t="s">
        <v>1585</v>
      </c>
      <c r="G11" s="80" t="s">
        <v>1586</v>
      </c>
      <c r="H11" s="80" t="s">
        <v>1587</v>
      </c>
      <c r="I11" s="80" t="s">
        <v>443</v>
      </c>
      <c r="J11" s="80" t="s">
        <v>1563</v>
      </c>
      <c r="K11" s="80" t="str">
        <f t="shared" si="0"/>
        <v>No</v>
      </c>
      <c r="L11" s="80" t="str">
        <f t="shared" si="1"/>
        <v>No</v>
      </c>
      <c r="M11" s="80" t="s">
        <v>1564</v>
      </c>
      <c r="N11" s="80" t="s">
        <v>1570</v>
      </c>
    </row>
    <row r="12" spans="1:14" x14ac:dyDescent="0.3">
      <c r="A12" s="80" t="s">
        <v>1588</v>
      </c>
      <c r="B12" s="81">
        <v>46276</v>
      </c>
      <c r="C12" s="80" t="s">
        <v>1028</v>
      </c>
      <c r="D12" s="80" t="str">
        <f>INDEX(Syn_AI_Inventory!$B$5:$B$34,MATCH(C12,Syn_AI_Inventory!$A$5:$A$34,0))</f>
        <v>Aria Customer Service Chatbot</v>
      </c>
      <c r="E12" s="80" t="str">
        <f>INDEX(Syn_Tiering!$Q$5:$Q$34,MATCH(C12,Syn_Tiering!$A$5:$A$34,0))</f>
        <v>T2 - Elevated</v>
      </c>
      <c r="F12" s="80" t="s">
        <v>1575</v>
      </c>
      <c r="G12" s="80" t="s">
        <v>1576</v>
      </c>
      <c r="H12" s="80" t="s">
        <v>1577</v>
      </c>
      <c r="I12" s="80" t="s">
        <v>1572</v>
      </c>
      <c r="J12" s="80" t="s">
        <v>1563</v>
      </c>
      <c r="K12" s="80" t="str">
        <f t="shared" si="0"/>
        <v>Yes</v>
      </c>
      <c r="L12" s="80" t="str">
        <f t="shared" si="1"/>
        <v>No</v>
      </c>
      <c r="M12" s="80" t="s">
        <v>1564</v>
      </c>
      <c r="N12" s="80" t="s">
        <v>1579</v>
      </c>
    </row>
    <row r="13" spans="1:14" ht="26.4" x14ac:dyDescent="0.3">
      <c r="A13" s="80" t="s">
        <v>1589</v>
      </c>
      <c r="B13" s="81">
        <v>46289</v>
      </c>
      <c r="C13" s="80" t="s">
        <v>1051</v>
      </c>
      <c r="D13" s="80" t="str">
        <f>INDEX(Syn_AI_Inventory!$B$5:$B$34,MATCH(C13,Syn_AI_Inventory!$A$5:$A$34,0))</f>
        <v>Life Insurance Pricing Model</v>
      </c>
      <c r="E13" s="80" t="str">
        <f>INDEX(Syn_Tiering!$Q$5:$Q$34,MATCH(C13,Syn_Tiering!$A$5:$A$34,0))</f>
        <v>T1 - Critical</v>
      </c>
      <c r="F13" s="80" t="s">
        <v>1590</v>
      </c>
      <c r="G13" s="80" t="s">
        <v>1591</v>
      </c>
      <c r="H13" s="80" t="s">
        <v>1592</v>
      </c>
      <c r="I13" s="80" t="s">
        <v>1572</v>
      </c>
      <c r="J13" s="80" t="s">
        <v>552</v>
      </c>
      <c r="K13" s="80" t="str">
        <f t="shared" si="0"/>
        <v>Yes</v>
      </c>
      <c r="L13" s="80" t="str">
        <f t="shared" si="1"/>
        <v>Yes</v>
      </c>
      <c r="M13" s="80" t="s">
        <v>1593</v>
      </c>
      <c r="N13" s="80" t="s">
        <v>1573</v>
      </c>
    </row>
    <row r="14" spans="1:14" ht="26.4" x14ac:dyDescent="0.3">
      <c r="A14" s="80" t="s">
        <v>1594</v>
      </c>
      <c r="B14" s="81">
        <v>46276</v>
      </c>
      <c r="C14" s="80" t="s">
        <v>1040</v>
      </c>
      <c r="D14" s="80" t="str">
        <f>INDEX(Syn_AI_Inventory!$B$5:$B$34,MATCH(C14,Syn_AI_Inventory!$A$5:$A$34,0))</f>
        <v>Marketing Copy Generator</v>
      </c>
      <c r="E14" s="80" t="str">
        <f>INDEX(Syn_Tiering!$Q$5:$Q$34,MATCH(C14,Syn_Tiering!$A$5:$A$34,0))</f>
        <v>T2 - Elevated</v>
      </c>
      <c r="F14" s="80" t="s">
        <v>1567</v>
      </c>
      <c r="G14" s="80" t="s">
        <v>1568</v>
      </c>
      <c r="H14" s="80" t="s">
        <v>1569</v>
      </c>
      <c r="I14" s="80" t="s">
        <v>443</v>
      </c>
      <c r="J14" s="80" t="s">
        <v>1563</v>
      </c>
      <c r="K14" s="80" t="str">
        <f t="shared" si="0"/>
        <v>No</v>
      </c>
      <c r="L14" s="80" t="str">
        <f t="shared" si="1"/>
        <v>No</v>
      </c>
      <c r="M14" s="80" t="s">
        <v>1454</v>
      </c>
      <c r="N14" s="80" t="s">
        <v>1573</v>
      </c>
    </row>
    <row r="15" spans="1:14" ht="26.4" x14ac:dyDescent="0.3">
      <c r="A15" s="80" t="s">
        <v>1595</v>
      </c>
      <c r="B15" s="81">
        <v>46270</v>
      </c>
      <c r="C15" s="80" t="s">
        <v>1116</v>
      </c>
      <c r="D15" s="80" t="str">
        <f>INDEX(Syn_AI_Inventory!$B$5:$B$34,MATCH(C15,Syn_AI_Inventory!$A$5:$A$34,0))</f>
        <v>AML Transaction Monitoring</v>
      </c>
      <c r="E15" s="80" t="str">
        <f>INDEX(Syn_Tiering!$Q$5:$Q$34,MATCH(C15,Syn_Tiering!$A$5:$A$34,0))</f>
        <v>T1 - Critical</v>
      </c>
      <c r="F15" s="80" t="s">
        <v>1560</v>
      </c>
      <c r="G15" s="80" t="s">
        <v>1561</v>
      </c>
      <c r="H15" s="80" t="s">
        <v>1562</v>
      </c>
      <c r="I15" s="80" t="s">
        <v>859</v>
      </c>
      <c r="J15" s="80" t="s">
        <v>1563</v>
      </c>
      <c r="K15" s="80" t="str">
        <f t="shared" si="0"/>
        <v>Yes</v>
      </c>
      <c r="L15" s="80" t="str">
        <f t="shared" si="1"/>
        <v>No</v>
      </c>
      <c r="M15" s="80" t="s">
        <v>1454</v>
      </c>
      <c r="N15" s="80" t="s">
        <v>1579</v>
      </c>
    </row>
    <row r="16" spans="1:14" ht="26.4" x14ac:dyDescent="0.3">
      <c r="A16" s="80" t="s">
        <v>1596</v>
      </c>
      <c r="B16" s="81">
        <v>46237</v>
      </c>
      <c r="C16" s="80" t="s">
        <v>1122</v>
      </c>
      <c r="D16" s="80" t="str">
        <f>INDEX(Syn_AI_Inventory!$B$5:$B$34,MATCH(C16,Syn_AI_Inventory!$A$5:$A$34,0))</f>
        <v>Voice Biometric Authentication</v>
      </c>
      <c r="E16" s="80" t="str">
        <f>INDEX(Syn_Tiering!$Q$5:$Q$34,MATCH(C16,Syn_Tiering!$A$5:$A$34,0))</f>
        <v>T1 - Critical</v>
      </c>
      <c r="F16" s="80" t="s">
        <v>1597</v>
      </c>
      <c r="G16" s="80" t="s">
        <v>1598</v>
      </c>
      <c r="H16" s="80" t="s">
        <v>1599</v>
      </c>
      <c r="I16" s="80" t="s">
        <v>785</v>
      </c>
      <c r="J16" s="80" t="s">
        <v>1563</v>
      </c>
      <c r="K16" s="80" t="str">
        <f t="shared" si="0"/>
        <v>Yes</v>
      </c>
      <c r="L16" s="80" t="str">
        <f t="shared" si="1"/>
        <v>No</v>
      </c>
      <c r="M16" s="80" t="s">
        <v>1593</v>
      </c>
      <c r="N16" s="80" t="s">
        <v>1565</v>
      </c>
    </row>
    <row r="17" spans="1:14" x14ac:dyDescent="0.3">
      <c r="A17" s="80" t="s">
        <v>1600</v>
      </c>
      <c r="B17" s="81">
        <v>46269</v>
      </c>
      <c r="C17" s="80" t="s">
        <v>1040</v>
      </c>
      <c r="D17" s="80" t="str">
        <f>INDEX(Syn_AI_Inventory!$B$5:$B$34,MATCH(C17,Syn_AI_Inventory!$A$5:$A$34,0))</f>
        <v>Marketing Copy Generator</v>
      </c>
      <c r="E17" s="80" t="str">
        <f>INDEX(Syn_Tiering!$Q$5:$Q$34,MATCH(C17,Syn_Tiering!$A$5:$A$34,0))</f>
        <v>T2 - Elevated</v>
      </c>
      <c r="F17" s="80" t="s">
        <v>1601</v>
      </c>
      <c r="G17" s="80" t="s">
        <v>1586</v>
      </c>
      <c r="H17" s="80" t="s">
        <v>1602</v>
      </c>
      <c r="I17" s="80" t="s">
        <v>859</v>
      </c>
      <c r="J17" s="80" t="s">
        <v>1563</v>
      </c>
      <c r="K17" s="80" t="str">
        <f t="shared" si="0"/>
        <v>No</v>
      </c>
      <c r="L17" s="80" t="str">
        <f t="shared" si="1"/>
        <v>No</v>
      </c>
      <c r="M17" s="80" t="s">
        <v>1454</v>
      </c>
      <c r="N17" s="80" t="s">
        <v>1573</v>
      </c>
    </row>
    <row r="18" spans="1:14" ht="26.4" x14ac:dyDescent="0.3">
      <c r="A18" s="80" t="s">
        <v>1603</v>
      </c>
      <c r="B18" s="81">
        <v>46252</v>
      </c>
      <c r="C18" s="80" t="s">
        <v>1130</v>
      </c>
      <c r="D18" s="80" t="str">
        <f>INDEX(Syn_AI_Inventory!$B$5:$B$34,MATCH(C18,Syn_AI_Inventory!$A$5:$A$34,0))</f>
        <v>Customer Churn Predictor</v>
      </c>
      <c r="E18" s="80" t="str">
        <f>INDEX(Syn_Tiering!$Q$5:$Q$34,MATCH(C18,Syn_Tiering!$A$5:$A$34,0))</f>
        <v>T3 - Standard</v>
      </c>
      <c r="F18" s="80" t="s">
        <v>1581</v>
      </c>
      <c r="G18" s="80" t="s">
        <v>1582</v>
      </c>
      <c r="H18" s="80" t="s">
        <v>1583</v>
      </c>
      <c r="I18" s="80" t="s">
        <v>443</v>
      </c>
      <c r="J18" s="80" t="s">
        <v>1563</v>
      </c>
      <c r="K18" s="80" t="str">
        <f t="shared" si="0"/>
        <v>Yes</v>
      </c>
      <c r="L18" s="80" t="str">
        <f t="shared" si="1"/>
        <v>No</v>
      </c>
      <c r="M18" s="80" t="s">
        <v>1593</v>
      </c>
      <c r="N18" s="80" t="s">
        <v>1573</v>
      </c>
    </row>
    <row r="19" spans="1:14" x14ac:dyDescent="0.3">
      <c r="A19" s="80" t="s">
        <v>1604</v>
      </c>
      <c r="B19" s="81">
        <v>46248</v>
      </c>
      <c r="C19" s="80" t="s">
        <v>1051</v>
      </c>
      <c r="D19" s="80" t="str">
        <f>INDEX(Syn_AI_Inventory!$B$5:$B$34,MATCH(C19,Syn_AI_Inventory!$A$5:$A$34,0))</f>
        <v>Life Insurance Pricing Model</v>
      </c>
      <c r="E19" s="80" t="str">
        <f>INDEX(Syn_Tiering!$Q$5:$Q$34,MATCH(C19,Syn_Tiering!$A$5:$A$34,0))</f>
        <v>T1 - Critical</v>
      </c>
      <c r="F19" s="80" t="s">
        <v>1575</v>
      </c>
      <c r="G19" s="80" t="s">
        <v>1576</v>
      </c>
      <c r="H19" s="80" t="s">
        <v>1577</v>
      </c>
      <c r="I19" s="80" t="s">
        <v>443</v>
      </c>
      <c r="J19" s="80" t="s">
        <v>1563</v>
      </c>
      <c r="K19" s="80" t="str">
        <f t="shared" si="0"/>
        <v>No</v>
      </c>
      <c r="L19" s="80" t="str">
        <f t="shared" si="1"/>
        <v>No</v>
      </c>
      <c r="M19" s="80" t="s">
        <v>1564</v>
      </c>
      <c r="N19" s="80" t="s">
        <v>1579</v>
      </c>
    </row>
    <row r="20" spans="1:14" ht="26.4" x14ac:dyDescent="0.3">
      <c r="A20" s="80" t="s">
        <v>1605</v>
      </c>
      <c r="B20" s="81">
        <v>46244</v>
      </c>
      <c r="C20" s="80" t="s">
        <v>1075</v>
      </c>
      <c r="D20" s="80" t="str">
        <f>INDEX(Syn_AI_Inventory!$B$5:$B$34,MATCH(C20,Syn_AI_Inventory!$A$5:$A$34,0))</f>
        <v>Internal Knowledge Assistant</v>
      </c>
      <c r="E20" s="80" t="str">
        <f>INDEX(Syn_Tiering!$Q$5:$Q$34,MATCH(C20,Syn_Tiering!$A$5:$A$34,0))</f>
        <v>T2 - Elevated</v>
      </c>
      <c r="F20" s="80" t="s">
        <v>1560</v>
      </c>
      <c r="G20" s="80" t="s">
        <v>1561</v>
      </c>
      <c r="H20" s="80" t="s">
        <v>1562</v>
      </c>
      <c r="I20" s="80" t="s">
        <v>1572</v>
      </c>
      <c r="J20" s="80" t="s">
        <v>1563</v>
      </c>
      <c r="K20" s="80" t="str">
        <f t="shared" si="0"/>
        <v>Yes</v>
      </c>
      <c r="L20" s="80" t="str">
        <f t="shared" si="1"/>
        <v>No</v>
      </c>
      <c r="M20" s="80" t="s">
        <v>1454</v>
      </c>
      <c r="N20" s="80" t="s">
        <v>1573</v>
      </c>
    </row>
    <row r="21" spans="1:14" ht="26.4" x14ac:dyDescent="0.3">
      <c r="A21" s="80" t="s">
        <v>1606</v>
      </c>
      <c r="B21" s="81">
        <v>46269</v>
      </c>
      <c r="C21" s="80" t="s">
        <v>1137</v>
      </c>
      <c r="D21" s="80" t="str">
        <f>INDEX(Syn_AI_Inventory!$B$5:$B$34,MATCH(C21,Syn_AI_Inventory!$A$5:$A$34,0))</f>
        <v>Health Underwriting Assistant</v>
      </c>
      <c r="E21" s="80" t="str">
        <f>INDEX(Syn_Tiering!$Q$5:$Q$34,MATCH(C21,Syn_Tiering!$A$5:$A$34,0))</f>
        <v>T1 - Critical</v>
      </c>
      <c r="F21" s="80" t="s">
        <v>1567</v>
      </c>
      <c r="G21" s="80" t="s">
        <v>1568</v>
      </c>
      <c r="H21" s="80" t="s">
        <v>1569</v>
      </c>
      <c r="I21" s="80" t="s">
        <v>785</v>
      </c>
      <c r="J21" s="80" t="s">
        <v>1563</v>
      </c>
      <c r="K21" s="80" t="str">
        <f t="shared" si="0"/>
        <v>Yes</v>
      </c>
      <c r="L21" s="80" t="str">
        <f t="shared" si="1"/>
        <v>No</v>
      </c>
      <c r="M21" s="80" t="s">
        <v>1454</v>
      </c>
      <c r="N21" s="80" t="s">
        <v>1570</v>
      </c>
    </row>
    <row r="22" spans="1:14" ht="26.4" x14ac:dyDescent="0.3">
      <c r="A22" s="80" t="s">
        <v>1607</v>
      </c>
      <c r="B22" s="81">
        <v>46256</v>
      </c>
      <c r="C22" s="80" t="s">
        <v>1047</v>
      </c>
      <c r="D22" s="80" t="str">
        <f>INDEX(Syn_AI_Inventory!$B$5:$B$34,MATCH(C22,Syn_AI_Inventory!$A$5:$A$34,0))</f>
        <v>Employee Performance Analytics</v>
      </c>
      <c r="E22" s="80" t="str">
        <f>INDEX(Syn_Tiering!$Q$5:$Q$34,MATCH(C22,Syn_Tiering!$A$5:$A$34,0))</f>
        <v>T1 - Critical</v>
      </c>
      <c r="F22" s="80" t="s">
        <v>1585</v>
      </c>
      <c r="G22" s="80" t="s">
        <v>1586</v>
      </c>
      <c r="H22" s="80" t="s">
        <v>1587</v>
      </c>
      <c r="I22" s="80" t="s">
        <v>443</v>
      </c>
      <c r="J22" s="80" t="s">
        <v>1563</v>
      </c>
      <c r="K22" s="80" t="str">
        <f t="shared" si="0"/>
        <v>No</v>
      </c>
      <c r="L22" s="80" t="str">
        <f t="shared" si="1"/>
        <v>No</v>
      </c>
      <c r="M22" s="80" t="s">
        <v>1564</v>
      </c>
      <c r="N22" s="80" t="s">
        <v>1570</v>
      </c>
    </row>
    <row r="23" spans="1:14" ht="26.4" x14ac:dyDescent="0.3">
      <c r="A23" s="80" t="s">
        <v>1608</v>
      </c>
      <c r="B23" s="81">
        <v>46246</v>
      </c>
      <c r="C23" s="80" t="s">
        <v>1137</v>
      </c>
      <c r="D23" s="80" t="str">
        <f>INDEX(Syn_AI_Inventory!$B$5:$B$34,MATCH(C23,Syn_AI_Inventory!$A$5:$A$34,0))</f>
        <v>Health Underwriting Assistant</v>
      </c>
      <c r="E23" s="80" t="str">
        <f>INDEX(Syn_Tiering!$Q$5:$Q$34,MATCH(C23,Syn_Tiering!$A$5:$A$34,0))</f>
        <v>T1 - Critical</v>
      </c>
      <c r="F23" s="80" t="s">
        <v>1590</v>
      </c>
      <c r="G23" s="80" t="s">
        <v>1591</v>
      </c>
      <c r="H23" s="80" t="s">
        <v>1592</v>
      </c>
      <c r="I23" s="80" t="s">
        <v>1572</v>
      </c>
      <c r="J23" s="80" t="s">
        <v>552</v>
      </c>
      <c r="K23" s="80" t="str">
        <f t="shared" si="0"/>
        <v>Yes</v>
      </c>
      <c r="L23" s="80" t="str">
        <f t="shared" si="1"/>
        <v>Yes</v>
      </c>
      <c r="M23" s="80" t="s">
        <v>1454</v>
      </c>
      <c r="N23" s="80" t="s">
        <v>1573</v>
      </c>
    </row>
    <row r="24" spans="1:14" ht="26.4" x14ac:dyDescent="0.3">
      <c r="A24" s="80" t="s">
        <v>1609</v>
      </c>
      <c r="B24" s="81">
        <v>46259</v>
      </c>
      <c r="C24" s="80" t="s">
        <v>1126</v>
      </c>
      <c r="D24" s="80" t="str">
        <f>INDEX(Syn_AI_Inventory!$B$5:$B$34,MATCH(C24,Syn_AI_Inventory!$A$5:$A$34,0))</f>
        <v>Robo-Advisor Chat</v>
      </c>
      <c r="E24" s="80" t="str">
        <f>INDEX(Syn_Tiering!$Q$5:$Q$34,MATCH(C24,Syn_Tiering!$A$5:$A$34,0))</f>
        <v>T2 - Elevated</v>
      </c>
      <c r="F24" s="80" t="s">
        <v>1585</v>
      </c>
      <c r="G24" s="80" t="s">
        <v>1586</v>
      </c>
      <c r="H24" s="80" t="s">
        <v>1587</v>
      </c>
      <c r="I24" s="80" t="s">
        <v>785</v>
      </c>
      <c r="J24" s="80" t="s">
        <v>1563</v>
      </c>
      <c r="K24" s="80" t="str">
        <f t="shared" si="0"/>
        <v>Yes</v>
      </c>
      <c r="L24" s="80" t="str">
        <f t="shared" si="1"/>
        <v>No</v>
      </c>
      <c r="M24" s="80" t="s">
        <v>1564</v>
      </c>
      <c r="N24" s="80" t="s">
        <v>1570</v>
      </c>
    </row>
    <row r="25" spans="1:14" x14ac:dyDescent="0.3">
      <c r="A25" s="80" t="s">
        <v>1610</v>
      </c>
      <c r="B25" s="81">
        <v>46283</v>
      </c>
      <c r="C25" s="80" t="s">
        <v>1060</v>
      </c>
      <c r="D25" s="80" t="str">
        <f>INDEX(Syn_AI_Inventory!$B$5:$B$34,MATCH(C25,Syn_AI_Inventory!$A$5:$A$34,0))</f>
        <v>Call-Centre Emotion Analytics</v>
      </c>
      <c r="E25" s="80" t="str">
        <f>INDEX(Syn_Tiering!$Q$5:$Q$34,MATCH(C25,Syn_Tiering!$A$5:$A$34,0))</f>
        <v>T0 - Stop</v>
      </c>
      <c r="F25" s="80" t="s">
        <v>1601</v>
      </c>
      <c r="G25" s="80" t="s">
        <v>1586</v>
      </c>
      <c r="H25" s="80" t="s">
        <v>1602</v>
      </c>
      <c r="I25" s="80" t="s">
        <v>443</v>
      </c>
      <c r="J25" s="80" t="s">
        <v>1563</v>
      </c>
      <c r="K25" s="80" t="str">
        <f t="shared" si="0"/>
        <v>No</v>
      </c>
      <c r="L25" s="80" t="str">
        <f t="shared" si="1"/>
        <v>No</v>
      </c>
      <c r="M25" s="80" t="s">
        <v>1454</v>
      </c>
      <c r="N25" s="80" t="s">
        <v>1565</v>
      </c>
    </row>
    <row r="26" spans="1:14" ht="26.4" x14ac:dyDescent="0.3">
      <c r="A26" s="80" t="s">
        <v>1611</v>
      </c>
      <c r="B26" s="81">
        <v>46266</v>
      </c>
      <c r="C26" s="80" t="s">
        <v>1096</v>
      </c>
      <c r="D26" s="80" t="str">
        <f>INDEX(Syn_AI_Inventory!$B$5:$B$34,MATCH(C26,Syn_AI_Inventory!$A$5:$A$34,0))</f>
        <v>Loan Document OCR &amp; Extraction</v>
      </c>
      <c r="E26" s="80" t="str">
        <f>INDEX(Syn_Tiering!$Q$5:$Q$34,MATCH(C26,Syn_Tiering!$A$5:$A$34,0))</f>
        <v>T2 - Elevated</v>
      </c>
      <c r="F26" s="80" t="s">
        <v>1585</v>
      </c>
      <c r="G26" s="80" t="s">
        <v>1586</v>
      </c>
      <c r="H26" s="80" t="s">
        <v>1587</v>
      </c>
      <c r="I26" s="80" t="s">
        <v>443</v>
      </c>
      <c r="J26" s="80" t="s">
        <v>1563</v>
      </c>
      <c r="K26" s="80" t="str">
        <f t="shared" si="0"/>
        <v>No</v>
      </c>
      <c r="L26" s="80" t="str">
        <f t="shared" si="1"/>
        <v>No</v>
      </c>
      <c r="M26" s="80" t="s">
        <v>1593</v>
      </c>
      <c r="N26" s="80" t="s">
        <v>1573</v>
      </c>
    </row>
    <row r="27" spans="1:14" ht="26.4" x14ac:dyDescent="0.3">
      <c r="A27" s="80" t="s">
        <v>1612</v>
      </c>
      <c r="B27" s="81">
        <v>46276</v>
      </c>
      <c r="C27" s="80" t="s">
        <v>1134</v>
      </c>
      <c r="D27" s="80" t="str">
        <f>INDEX(Syn_AI_Inventory!$B$5:$B$34,MATCH(C27,Syn_AI_Inventory!$A$5:$A$34,0))</f>
        <v>Credit Limit Increase Recommender</v>
      </c>
      <c r="E27" s="80" t="str">
        <f>INDEX(Syn_Tiering!$Q$5:$Q$34,MATCH(C27,Syn_Tiering!$A$5:$A$34,0))</f>
        <v>T1 - Critical</v>
      </c>
      <c r="F27" s="80" t="s">
        <v>1601</v>
      </c>
      <c r="G27" s="80" t="s">
        <v>1586</v>
      </c>
      <c r="H27" s="80" t="s">
        <v>1602</v>
      </c>
      <c r="I27" s="80" t="s">
        <v>443</v>
      </c>
      <c r="J27" s="80" t="s">
        <v>1563</v>
      </c>
      <c r="K27" s="80" t="str">
        <f t="shared" si="0"/>
        <v>No</v>
      </c>
      <c r="L27" s="80" t="str">
        <f t="shared" si="1"/>
        <v>No</v>
      </c>
      <c r="M27" s="80" t="s">
        <v>1564</v>
      </c>
      <c r="N27" s="80" t="s">
        <v>1565</v>
      </c>
    </row>
    <row r="28" spans="1:14" x14ac:dyDescent="0.3">
      <c r="A28" s="80" t="s">
        <v>1613</v>
      </c>
      <c r="B28" s="81">
        <v>46239</v>
      </c>
      <c r="C28" s="80" t="s">
        <v>1126</v>
      </c>
      <c r="D28" s="80" t="str">
        <f>INDEX(Syn_AI_Inventory!$B$5:$B$34,MATCH(C28,Syn_AI_Inventory!$A$5:$A$34,0))</f>
        <v>Robo-Advisor Chat</v>
      </c>
      <c r="E28" s="80" t="str">
        <f>INDEX(Syn_Tiering!$Q$5:$Q$34,MATCH(C28,Syn_Tiering!$A$5:$A$34,0))</f>
        <v>T2 - Elevated</v>
      </c>
      <c r="F28" s="80" t="s">
        <v>1601</v>
      </c>
      <c r="G28" s="80" t="s">
        <v>1586</v>
      </c>
      <c r="H28" s="80" t="s">
        <v>1602</v>
      </c>
      <c r="I28" s="80" t="s">
        <v>859</v>
      </c>
      <c r="J28" s="80" t="s">
        <v>1563</v>
      </c>
      <c r="K28" s="80" t="str">
        <f t="shared" si="0"/>
        <v>No</v>
      </c>
      <c r="L28" s="80" t="str">
        <f t="shared" si="1"/>
        <v>No</v>
      </c>
      <c r="M28" s="80" t="s">
        <v>1454</v>
      </c>
      <c r="N28" s="80" t="s">
        <v>1579</v>
      </c>
    </row>
    <row r="29" spans="1:14" ht="26.4" x14ac:dyDescent="0.3">
      <c r="A29" s="80" t="s">
        <v>1614</v>
      </c>
      <c r="B29" s="81">
        <v>46239</v>
      </c>
      <c r="C29" s="80" t="s">
        <v>1126</v>
      </c>
      <c r="D29" s="80" t="str">
        <f>INDEX(Syn_AI_Inventory!$B$5:$B$34,MATCH(C29,Syn_AI_Inventory!$A$5:$A$34,0))</f>
        <v>Robo-Advisor Chat</v>
      </c>
      <c r="E29" s="80" t="str">
        <f>INDEX(Syn_Tiering!$Q$5:$Q$34,MATCH(C29,Syn_Tiering!$A$5:$A$34,0))</f>
        <v>T2 - Elevated</v>
      </c>
      <c r="F29" s="80" t="s">
        <v>1581</v>
      </c>
      <c r="G29" s="80" t="s">
        <v>1582</v>
      </c>
      <c r="H29" s="80" t="s">
        <v>1583</v>
      </c>
      <c r="I29" s="80" t="s">
        <v>859</v>
      </c>
      <c r="J29" s="80" t="s">
        <v>1563</v>
      </c>
      <c r="K29" s="80" t="str">
        <f t="shared" si="0"/>
        <v>Yes</v>
      </c>
      <c r="L29" s="80" t="str">
        <f t="shared" si="1"/>
        <v>No</v>
      </c>
      <c r="M29" s="80" t="s">
        <v>1454</v>
      </c>
      <c r="N29" s="80" t="s">
        <v>1565</v>
      </c>
    </row>
    <row r="30" spans="1:14" ht="26.4" x14ac:dyDescent="0.3">
      <c r="A30" s="80" t="s">
        <v>1615</v>
      </c>
      <c r="B30" s="81">
        <v>46258</v>
      </c>
      <c r="C30" s="80" t="s">
        <v>1145</v>
      </c>
      <c r="D30" s="80" t="str">
        <f>INDEX(Syn_AI_Inventory!$B$5:$B$34,MATCH(C30,Syn_AI_Inventory!$A$5:$A$34,0))</f>
        <v>Test Data Synthesiser</v>
      </c>
      <c r="E30" s="80" t="str">
        <f>INDEX(Syn_Tiering!$Q$5:$Q$34,MATCH(C30,Syn_Tiering!$A$5:$A$34,0))</f>
        <v>T3 - Standard</v>
      </c>
      <c r="F30" s="80" t="s">
        <v>1590</v>
      </c>
      <c r="G30" s="80" t="s">
        <v>1591</v>
      </c>
      <c r="H30" s="80" t="s">
        <v>1592</v>
      </c>
      <c r="I30" s="80" t="s">
        <v>1572</v>
      </c>
      <c r="J30" s="80" t="s">
        <v>552</v>
      </c>
      <c r="K30" s="80" t="str">
        <f t="shared" si="0"/>
        <v>Yes</v>
      </c>
      <c r="L30" s="80" t="str">
        <f t="shared" si="1"/>
        <v>No</v>
      </c>
      <c r="M30" s="80" t="s">
        <v>1454</v>
      </c>
      <c r="N30" s="80" t="s">
        <v>1570</v>
      </c>
    </row>
  </sheetData>
  <conditionalFormatting sqref="K5:L30">
    <cfRule type="cellIs" dxfId="1" priority="2" operator="equal">
      <formula>"Yes"</formula>
    </cfRule>
  </conditionalFormatting>
  <dataValidations count="1">
    <dataValidation type="list" allowBlank="1" sqref="I5:I30" xr:uid="{00000000-0002-0000-0E00-000000000000}">
      <formula1>"Low,Medium,High,Critical"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C000"/>
  </sheetPr>
  <dimension ref="A1:N53"/>
  <sheetViews>
    <sheetView zoomScaleNormal="100" workbookViewId="0">
      <pane xSplit="3" ySplit="4" topLeftCell="H5" activePane="bottomRight" state="frozen"/>
      <selection pane="topRight" activeCell="D1" sqref="D1"/>
      <selection pane="bottomLeft" activeCell="A5" sqref="A5"/>
      <selection pane="bottomRight" activeCell="C8" sqref="C8"/>
    </sheetView>
  </sheetViews>
  <sheetFormatPr defaultColWidth="8.77734375" defaultRowHeight="14.4" x14ac:dyDescent="0.3"/>
  <cols>
    <col min="1" max="1" width="9.88671875" customWidth="1"/>
    <col min="2" max="2" width="16.88671875" customWidth="1"/>
    <col min="3" max="3" width="28" customWidth="1"/>
    <col min="4" max="4" width="9" customWidth="1"/>
    <col min="5" max="5" width="32" customWidth="1"/>
    <col min="6" max="6" width="50" customWidth="1"/>
    <col min="7" max="7" width="30" customWidth="1"/>
    <col min="8" max="8" width="7.88671875" customWidth="1"/>
    <col min="9" max="9" width="10.77734375" customWidth="1"/>
    <col min="10" max="10" width="11" customWidth="1"/>
    <col min="11" max="11" width="12" customWidth="1"/>
    <col min="12" max="12" width="14.88671875" customWidth="1"/>
    <col min="13" max="13" width="23.88671875" customWidth="1"/>
    <col min="14" max="14" width="28" customWidth="1"/>
  </cols>
  <sheetData>
    <row r="1" spans="1:14" ht="17.399999999999999" x14ac:dyDescent="0.3">
      <c r="A1" s="4" t="s">
        <v>1616</v>
      </c>
    </row>
    <row r="2" spans="1:14" x14ac:dyDescent="0.3">
      <c r="A2" s="5" t="s">
        <v>1617</v>
      </c>
    </row>
    <row r="4" spans="1:14" s="79" customFormat="1" ht="39.75" customHeight="1" x14ac:dyDescent="0.3">
      <c r="A4" s="78" t="s">
        <v>1618</v>
      </c>
      <c r="B4" s="78" t="s">
        <v>1619</v>
      </c>
      <c r="C4" s="78" t="s">
        <v>200</v>
      </c>
      <c r="D4" s="78" t="s">
        <v>985</v>
      </c>
      <c r="E4" s="78" t="s">
        <v>1620</v>
      </c>
      <c r="F4" s="78" t="s">
        <v>1621</v>
      </c>
      <c r="G4" s="78" t="s">
        <v>1622</v>
      </c>
      <c r="H4" s="78" t="s">
        <v>1623</v>
      </c>
      <c r="I4" s="78" t="s">
        <v>1624</v>
      </c>
      <c r="J4" s="78" t="s">
        <v>1625</v>
      </c>
      <c r="K4" s="78" t="s">
        <v>1626</v>
      </c>
      <c r="L4" s="78" t="s">
        <v>1627</v>
      </c>
      <c r="M4" s="78" t="s">
        <v>1628</v>
      </c>
      <c r="N4" s="78" t="s">
        <v>1629</v>
      </c>
    </row>
    <row r="5" spans="1:14" s="41" customFormat="1" x14ac:dyDescent="0.3">
      <c r="A5" s="74" t="s">
        <v>1630</v>
      </c>
      <c r="B5" s="75">
        <v>46267.797222222202</v>
      </c>
      <c r="C5" s="74" t="s">
        <v>518</v>
      </c>
      <c r="D5" s="74" t="s">
        <v>1088</v>
      </c>
      <c r="E5" s="74" t="s">
        <v>1631</v>
      </c>
      <c r="F5" s="74" t="s">
        <v>1632</v>
      </c>
      <c r="G5" s="74" t="s">
        <v>1633</v>
      </c>
      <c r="H5" s="76">
        <v>1901</v>
      </c>
      <c r="I5" s="74">
        <v>11</v>
      </c>
      <c r="J5" s="77">
        <v>0.67</v>
      </c>
      <c r="K5" s="74" t="str">
        <f>IF(J5&lt;Config!$B$12,"Yes","No")</f>
        <v>Yes</v>
      </c>
      <c r="L5" s="74" t="s">
        <v>1634</v>
      </c>
      <c r="M5" s="74" t="s">
        <v>1172</v>
      </c>
      <c r="N5" s="74" t="s">
        <v>1034</v>
      </c>
    </row>
    <row r="6" spans="1:14" s="41" customFormat="1" x14ac:dyDescent="0.3">
      <c r="A6" s="74" t="s">
        <v>1635</v>
      </c>
      <c r="B6" s="75">
        <v>46268.34375</v>
      </c>
      <c r="C6" s="74" t="s">
        <v>552</v>
      </c>
      <c r="D6" s="74" t="s">
        <v>1134</v>
      </c>
      <c r="E6" s="74" t="s">
        <v>1636</v>
      </c>
      <c r="F6" s="74" t="s">
        <v>1637</v>
      </c>
      <c r="G6" s="74" t="s">
        <v>1633</v>
      </c>
      <c r="H6" s="76">
        <v>7678</v>
      </c>
      <c r="I6" s="74">
        <v>26.3</v>
      </c>
      <c r="J6" s="77">
        <v>0.77</v>
      </c>
      <c r="K6" s="74" t="str">
        <f>IF(J6&lt;Config!$B$12,"Yes","No")</f>
        <v>Yes</v>
      </c>
      <c r="L6" s="74" t="s">
        <v>1634</v>
      </c>
      <c r="M6" s="74" t="s">
        <v>1172</v>
      </c>
      <c r="N6" s="74" t="s">
        <v>1034</v>
      </c>
    </row>
    <row r="7" spans="1:14" s="41" customFormat="1" x14ac:dyDescent="0.3">
      <c r="A7" s="74" t="s">
        <v>1638</v>
      </c>
      <c r="B7" s="75">
        <v>46269.004861111098</v>
      </c>
      <c r="C7" s="74" t="s">
        <v>540</v>
      </c>
      <c r="D7" s="74" t="s">
        <v>1088</v>
      </c>
      <c r="E7" s="74" t="s">
        <v>1639</v>
      </c>
      <c r="F7" s="74" t="s">
        <v>1640</v>
      </c>
      <c r="G7" s="74" t="s">
        <v>1633</v>
      </c>
      <c r="H7" s="76">
        <v>8989</v>
      </c>
      <c r="I7" s="74">
        <v>24.7</v>
      </c>
      <c r="J7" s="77">
        <v>0.79</v>
      </c>
      <c r="K7" s="74" t="str">
        <f>IF(J7&lt;Config!$B$12,"Yes","No")</f>
        <v>Yes</v>
      </c>
      <c r="L7" s="74" t="s">
        <v>1634</v>
      </c>
      <c r="M7" s="74" t="s">
        <v>1170</v>
      </c>
      <c r="N7" s="74" t="s">
        <v>1034</v>
      </c>
    </row>
    <row r="8" spans="1:14" s="41" customFormat="1" x14ac:dyDescent="0.3">
      <c r="A8" s="74" t="s">
        <v>1641</v>
      </c>
      <c r="B8" s="75">
        <v>46269.685416666704</v>
      </c>
      <c r="C8" s="74" t="s">
        <v>495</v>
      </c>
      <c r="D8" s="74" t="s">
        <v>1040</v>
      </c>
      <c r="E8" s="74" t="s">
        <v>1642</v>
      </c>
      <c r="F8" s="74" t="s">
        <v>1643</v>
      </c>
      <c r="G8" s="74" t="s">
        <v>1633</v>
      </c>
      <c r="H8" s="76">
        <v>3756</v>
      </c>
      <c r="I8" s="74">
        <v>22.7</v>
      </c>
      <c r="J8" s="77">
        <v>0.8</v>
      </c>
      <c r="K8" s="74" t="str">
        <f>IF(J8&lt;Config!$B$12,"Yes","No")</f>
        <v>Yes</v>
      </c>
      <c r="L8" s="74" t="s">
        <v>1634</v>
      </c>
      <c r="M8" s="74" t="s">
        <v>1176</v>
      </c>
      <c r="N8" s="74" t="s">
        <v>1034</v>
      </c>
    </row>
    <row r="9" spans="1:14" s="41" customFormat="1" x14ac:dyDescent="0.3">
      <c r="A9" s="74" t="s">
        <v>1644</v>
      </c>
      <c r="B9" s="75">
        <v>46269.722222222197</v>
      </c>
      <c r="C9" s="74" t="s">
        <v>484</v>
      </c>
      <c r="D9" s="74" t="s">
        <v>1141</v>
      </c>
      <c r="E9" s="74" t="s">
        <v>1645</v>
      </c>
      <c r="F9" s="74" t="s">
        <v>1646</v>
      </c>
      <c r="G9" s="74" t="s">
        <v>1633</v>
      </c>
      <c r="H9" s="76">
        <v>5643</v>
      </c>
      <c r="I9" s="74">
        <v>13.6</v>
      </c>
      <c r="J9" s="77">
        <v>0.8</v>
      </c>
      <c r="K9" s="74" t="str">
        <f>IF(J9&lt;Config!$B$12,"Yes","No")</f>
        <v>Yes</v>
      </c>
      <c r="L9" s="74" t="s">
        <v>1634</v>
      </c>
      <c r="M9" s="74" t="s">
        <v>1172</v>
      </c>
      <c r="N9" s="74" t="s">
        <v>1647</v>
      </c>
    </row>
    <row r="10" spans="1:14" s="41" customFormat="1" x14ac:dyDescent="0.3">
      <c r="A10" s="74" t="s">
        <v>1648</v>
      </c>
      <c r="B10" s="75">
        <v>46270.077083333301</v>
      </c>
      <c r="C10" s="74" t="s">
        <v>540</v>
      </c>
      <c r="D10" s="74" t="s">
        <v>1020</v>
      </c>
      <c r="E10" s="74" t="s">
        <v>1639</v>
      </c>
      <c r="F10" s="74" t="s">
        <v>1640</v>
      </c>
      <c r="G10" s="74" t="s">
        <v>1633</v>
      </c>
      <c r="H10" s="76">
        <v>6036</v>
      </c>
      <c r="I10" s="74">
        <v>27.4</v>
      </c>
      <c r="J10" s="77">
        <v>0.77</v>
      </c>
      <c r="K10" s="74" t="str">
        <f>IF(J10&lt;Config!$B$12,"Yes","No")</f>
        <v>Yes</v>
      </c>
      <c r="L10" s="74" t="s">
        <v>1634</v>
      </c>
      <c r="M10" s="74" t="s">
        <v>1172</v>
      </c>
      <c r="N10" s="74" t="s">
        <v>1034</v>
      </c>
    </row>
    <row r="11" spans="1:14" s="41" customFormat="1" x14ac:dyDescent="0.3">
      <c r="A11" s="74" t="s">
        <v>1649</v>
      </c>
      <c r="B11" s="75">
        <v>46271.0756944444</v>
      </c>
      <c r="C11" s="74" t="s">
        <v>1650</v>
      </c>
      <c r="D11" s="74" t="s">
        <v>1047</v>
      </c>
      <c r="E11" s="74" t="s">
        <v>1651</v>
      </c>
      <c r="F11" s="74" t="s">
        <v>1652</v>
      </c>
      <c r="G11" s="74" t="s">
        <v>1633</v>
      </c>
      <c r="H11" s="76">
        <v>5520</v>
      </c>
      <c r="I11" s="74">
        <v>11</v>
      </c>
      <c r="J11" s="77">
        <v>0.9</v>
      </c>
      <c r="K11" s="74" t="str">
        <f>IF(J11&lt;Config!$B$12,"Yes","No")</f>
        <v>No</v>
      </c>
      <c r="L11" s="74" t="s">
        <v>1653</v>
      </c>
      <c r="M11" s="74" t="s">
        <v>650</v>
      </c>
      <c r="N11" s="74" t="s">
        <v>1654</v>
      </c>
    </row>
    <row r="12" spans="1:14" s="41" customFormat="1" x14ac:dyDescent="0.3">
      <c r="A12" s="74" t="s">
        <v>1655</v>
      </c>
      <c r="B12" s="75">
        <v>46271.547222222202</v>
      </c>
      <c r="C12" s="74" t="s">
        <v>507</v>
      </c>
      <c r="D12" s="74" t="s">
        <v>1084</v>
      </c>
      <c r="E12" s="74" t="s">
        <v>1656</v>
      </c>
      <c r="F12" s="74" t="s">
        <v>1657</v>
      </c>
      <c r="G12" s="74" t="s">
        <v>1633</v>
      </c>
      <c r="H12" s="76">
        <v>2013</v>
      </c>
      <c r="I12" s="74">
        <v>19.2</v>
      </c>
      <c r="J12" s="77">
        <v>0.81</v>
      </c>
      <c r="K12" s="74" t="str">
        <f>IF(J12&lt;Config!$B$12,"Yes","No")</f>
        <v>Yes</v>
      </c>
      <c r="L12" s="74" t="s">
        <v>1634</v>
      </c>
      <c r="M12" s="74" t="s">
        <v>1172</v>
      </c>
      <c r="N12" s="74" t="s">
        <v>1034</v>
      </c>
    </row>
    <row r="13" spans="1:14" s="41" customFormat="1" x14ac:dyDescent="0.3">
      <c r="A13" s="74" t="s">
        <v>1658</v>
      </c>
      <c r="B13" s="75">
        <v>46272.001388888901</v>
      </c>
      <c r="C13" s="74" t="s">
        <v>540</v>
      </c>
      <c r="D13" s="74" t="s">
        <v>1020</v>
      </c>
      <c r="E13" s="74" t="s">
        <v>1639</v>
      </c>
      <c r="F13" s="74" t="s">
        <v>1640</v>
      </c>
      <c r="G13" s="74" t="s">
        <v>1633</v>
      </c>
      <c r="H13" s="76">
        <v>6572</v>
      </c>
      <c r="I13" s="74">
        <v>22.7</v>
      </c>
      <c r="J13" s="77">
        <v>0.66</v>
      </c>
      <c r="K13" s="74" t="str">
        <f>IF(J13&lt;Config!$B$12,"Yes","No")</f>
        <v>Yes</v>
      </c>
      <c r="L13" s="74" t="s">
        <v>1634</v>
      </c>
      <c r="M13" s="74" t="s">
        <v>1172</v>
      </c>
      <c r="N13" s="74" t="s">
        <v>1034</v>
      </c>
    </row>
    <row r="14" spans="1:14" s="41" customFormat="1" x14ac:dyDescent="0.3">
      <c r="A14" s="74" t="s">
        <v>1659</v>
      </c>
      <c r="B14" s="75">
        <v>46272.470833333296</v>
      </c>
      <c r="C14" s="74" t="s">
        <v>507</v>
      </c>
      <c r="D14" s="74" t="s">
        <v>1088</v>
      </c>
      <c r="E14" s="74" t="s">
        <v>1656</v>
      </c>
      <c r="F14" s="74" t="s">
        <v>1657</v>
      </c>
      <c r="G14" s="74" t="s">
        <v>1633</v>
      </c>
      <c r="H14" s="76">
        <v>7832</v>
      </c>
      <c r="I14" s="74">
        <v>2.1</v>
      </c>
      <c r="J14" s="77">
        <v>0.85</v>
      </c>
      <c r="K14" s="74" t="str">
        <f>IF(J14&lt;Config!$B$12,"Yes","No")</f>
        <v>No</v>
      </c>
      <c r="L14" s="74" t="s">
        <v>1653</v>
      </c>
      <c r="M14" s="74" t="s">
        <v>650</v>
      </c>
      <c r="N14" s="74" t="s">
        <v>1034</v>
      </c>
    </row>
    <row r="15" spans="1:14" s="41" customFormat="1" x14ac:dyDescent="0.3">
      <c r="A15" s="74" t="s">
        <v>1660</v>
      </c>
      <c r="B15" s="75">
        <v>46272.547222222202</v>
      </c>
      <c r="C15" s="74" t="s">
        <v>495</v>
      </c>
      <c r="D15" s="74" t="s">
        <v>1035</v>
      </c>
      <c r="E15" s="74" t="s">
        <v>1642</v>
      </c>
      <c r="F15" s="74" t="s">
        <v>1643</v>
      </c>
      <c r="G15" s="74" t="s">
        <v>1633</v>
      </c>
      <c r="H15" s="76">
        <v>1427</v>
      </c>
      <c r="I15" s="74">
        <v>12.9</v>
      </c>
      <c r="J15" s="77">
        <v>0.66</v>
      </c>
      <c r="K15" s="74" t="str">
        <f>IF(J15&lt;Config!$B$12,"Yes","No")</f>
        <v>Yes</v>
      </c>
      <c r="L15" s="74" t="s">
        <v>1634</v>
      </c>
      <c r="M15" s="74" t="s">
        <v>1176</v>
      </c>
      <c r="N15" s="74" t="s">
        <v>1034</v>
      </c>
    </row>
    <row r="16" spans="1:14" s="41" customFormat="1" x14ac:dyDescent="0.3">
      <c r="A16" s="74" t="s">
        <v>1661</v>
      </c>
      <c r="B16" s="75">
        <v>46273.447222222203</v>
      </c>
      <c r="C16" s="74" t="s">
        <v>552</v>
      </c>
      <c r="D16" s="74" t="s">
        <v>1137</v>
      </c>
      <c r="E16" s="74" t="s">
        <v>1636</v>
      </c>
      <c r="F16" s="74" t="s">
        <v>1637</v>
      </c>
      <c r="G16" s="74" t="s">
        <v>1633</v>
      </c>
      <c r="H16" s="76">
        <v>8072</v>
      </c>
      <c r="I16" s="74">
        <v>15.4</v>
      </c>
      <c r="J16" s="77">
        <v>0.71</v>
      </c>
      <c r="K16" s="74" t="str">
        <f>IF(J16&lt;Config!$B$12,"Yes","No")</f>
        <v>Yes</v>
      </c>
      <c r="L16" s="74" t="s">
        <v>1634</v>
      </c>
      <c r="M16" s="74" t="s">
        <v>1170</v>
      </c>
      <c r="N16" s="74" t="s">
        <v>1034</v>
      </c>
    </row>
    <row r="17" spans="1:14" s="41" customFormat="1" x14ac:dyDescent="0.3">
      <c r="A17" s="74" t="s">
        <v>1662</v>
      </c>
      <c r="B17" s="75">
        <v>46274.509722222203</v>
      </c>
      <c r="C17" s="74" t="s">
        <v>563</v>
      </c>
      <c r="D17" s="74" t="s">
        <v>1145</v>
      </c>
      <c r="E17" s="74" t="s">
        <v>1663</v>
      </c>
      <c r="F17" s="74" t="s">
        <v>1664</v>
      </c>
      <c r="G17" s="74" t="s">
        <v>1633</v>
      </c>
      <c r="H17" s="76">
        <v>3053</v>
      </c>
      <c r="I17" s="74">
        <v>7.9</v>
      </c>
      <c r="J17" s="77">
        <v>0.67</v>
      </c>
      <c r="K17" s="74" t="str">
        <f>IF(J17&lt;Config!$B$12,"Yes","No")</f>
        <v>Yes</v>
      </c>
      <c r="L17" s="74" t="s">
        <v>1665</v>
      </c>
      <c r="M17" s="74" t="s">
        <v>1176</v>
      </c>
      <c r="N17" s="74" t="s">
        <v>1034</v>
      </c>
    </row>
    <row r="18" spans="1:14" s="41" customFormat="1" x14ac:dyDescent="0.3">
      <c r="A18" s="74" t="s">
        <v>1666</v>
      </c>
      <c r="B18" s="75">
        <v>46275.536805555603</v>
      </c>
      <c r="C18" s="74" t="s">
        <v>518</v>
      </c>
      <c r="D18" s="74" t="s">
        <v>1035</v>
      </c>
      <c r="E18" s="74" t="s">
        <v>1631</v>
      </c>
      <c r="F18" s="74" t="s">
        <v>1632</v>
      </c>
      <c r="G18" s="74" t="s">
        <v>1633</v>
      </c>
      <c r="H18" s="76">
        <v>3249</v>
      </c>
      <c r="I18" s="74">
        <v>22.9</v>
      </c>
      <c r="J18" s="77">
        <v>0.92</v>
      </c>
      <c r="K18" s="74" t="str">
        <f>IF(J18&lt;Config!$B$12,"Yes","No")</f>
        <v>No</v>
      </c>
      <c r="L18" s="74" t="s">
        <v>1665</v>
      </c>
      <c r="M18" s="74" t="s">
        <v>1172</v>
      </c>
      <c r="N18" s="74" t="s">
        <v>1034</v>
      </c>
    </row>
    <row r="19" spans="1:14" s="41" customFormat="1" x14ac:dyDescent="0.3">
      <c r="A19" s="74" t="s">
        <v>1667</v>
      </c>
      <c r="B19" s="75">
        <v>46275.875694444498</v>
      </c>
      <c r="C19" s="74" t="s">
        <v>518</v>
      </c>
      <c r="D19" s="74" t="s">
        <v>1116</v>
      </c>
      <c r="E19" s="74" t="s">
        <v>1631</v>
      </c>
      <c r="F19" s="74" t="s">
        <v>1632</v>
      </c>
      <c r="G19" s="74" t="s">
        <v>1633</v>
      </c>
      <c r="H19" s="76">
        <v>6021</v>
      </c>
      <c r="I19" s="74">
        <v>37.4</v>
      </c>
      <c r="J19" s="77">
        <v>0.96</v>
      </c>
      <c r="K19" s="74" t="str">
        <f>IF(J19&lt;Config!$B$12,"Yes","No")</f>
        <v>No</v>
      </c>
      <c r="L19" s="74" t="s">
        <v>1634</v>
      </c>
      <c r="M19" s="74" t="s">
        <v>1172</v>
      </c>
      <c r="N19" s="74" t="s">
        <v>1034</v>
      </c>
    </row>
    <row r="20" spans="1:14" s="41" customFormat="1" x14ac:dyDescent="0.3">
      <c r="A20" s="74" t="s">
        <v>1668</v>
      </c>
      <c r="B20" s="75">
        <v>46276.608333333301</v>
      </c>
      <c r="C20" s="74" t="s">
        <v>484</v>
      </c>
      <c r="D20" s="74" t="s">
        <v>1126</v>
      </c>
      <c r="E20" s="74" t="s">
        <v>1645</v>
      </c>
      <c r="F20" s="74" t="s">
        <v>1646</v>
      </c>
      <c r="G20" s="74" t="s">
        <v>1633</v>
      </c>
      <c r="H20" s="76">
        <v>7625</v>
      </c>
      <c r="I20" s="74">
        <v>9.1</v>
      </c>
      <c r="J20" s="77">
        <v>0.76</v>
      </c>
      <c r="K20" s="74" t="str">
        <f>IF(J20&lt;Config!$B$12,"Yes","No")</f>
        <v>Yes</v>
      </c>
      <c r="L20" s="74" t="s">
        <v>1665</v>
      </c>
      <c r="M20" s="74" t="s">
        <v>1172</v>
      </c>
      <c r="N20" s="74" t="s">
        <v>1034</v>
      </c>
    </row>
    <row r="21" spans="1:14" s="41" customFormat="1" x14ac:dyDescent="0.3">
      <c r="A21" s="74" t="s">
        <v>1669</v>
      </c>
      <c r="B21" s="75">
        <v>46276.615277777797</v>
      </c>
      <c r="C21" s="74" t="s">
        <v>540</v>
      </c>
      <c r="D21" s="74" t="s">
        <v>1028</v>
      </c>
      <c r="E21" s="74" t="s">
        <v>1639</v>
      </c>
      <c r="F21" s="74" t="s">
        <v>1640</v>
      </c>
      <c r="G21" s="74" t="s">
        <v>1633</v>
      </c>
      <c r="H21" s="76">
        <v>2498</v>
      </c>
      <c r="I21" s="74">
        <v>31.3</v>
      </c>
      <c r="J21" s="77">
        <v>0.94</v>
      </c>
      <c r="K21" s="74" t="str">
        <f>IF(J21&lt;Config!$B$12,"Yes","No")</f>
        <v>No</v>
      </c>
      <c r="L21" s="74" t="s">
        <v>1653</v>
      </c>
      <c r="M21" s="74" t="s">
        <v>650</v>
      </c>
      <c r="N21" s="74" t="s">
        <v>1034</v>
      </c>
    </row>
    <row r="22" spans="1:14" s="41" customFormat="1" x14ac:dyDescent="0.3">
      <c r="A22" s="74" t="s">
        <v>1670</v>
      </c>
      <c r="B22" s="75">
        <v>46276.963194444397</v>
      </c>
      <c r="C22" s="74" t="s">
        <v>529</v>
      </c>
      <c r="D22" s="74" t="s">
        <v>1040</v>
      </c>
      <c r="E22" s="74" t="s">
        <v>1671</v>
      </c>
      <c r="F22" s="74" t="s">
        <v>1672</v>
      </c>
      <c r="G22" s="74" t="s">
        <v>1633</v>
      </c>
      <c r="H22" s="76">
        <v>1224</v>
      </c>
      <c r="I22" s="74">
        <v>30</v>
      </c>
      <c r="J22" s="77">
        <v>0.97</v>
      </c>
      <c r="K22" s="74" t="str">
        <f>IF(J22&lt;Config!$B$12,"Yes","No")</f>
        <v>No</v>
      </c>
      <c r="L22" s="74" t="s">
        <v>1653</v>
      </c>
      <c r="M22" s="74" t="s">
        <v>650</v>
      </c>
      <c r="N22" s="74" t="s">
        <v>1034</v>
      </c>
    </row>
    <row r="23" spans="1:14" s="41" customFormat="1" x14ac:dyDescent="0.3">
      <c r="A23" s="74" t="s">
        <v>1673</v>
      </c>
      <c r="B23" s="75">
        <v>46277.002083333296</v>
      </c>
      <c r="C23" s="74" t="s">
        <v>495</v>
      </c>
      <c r="D23" s="74" t="s">
        <v>1126</v>
      </c>
      <c r="E23" s="74" t="s">
        <v>1642</v>
      </c>
      <c r="F23" s="74" t="s">
        <v>1643</v>
      </c>
      <c r="G23" s="74" t="s">
        <v>1633</v>
      </c>
      <c r="H23" s="76">
        <v>8673</v>
      </c>
      <c r="I23" s="74">
        <v>35.200000000000003</v>
      </c>
      <c r="J23" s="77">
        <v>0.97</v>
      </c>
      <c r="K23" s="74" t="str">
        <f>IF(J23&lt;Config!$B$12,"Yes","No")</f>
        <v>No</v>
      </c>
      <c r="L23" s="74" t="s">
        <v>1653</v>
      </c>
      <c r="M23" s="74" t="s">
        <v>650</v>
      </c>
      <c r="N23" s="74" t="s">
        <v>1034</v>
      </c>
    </row>
    <row r="24" spans="1:14" s="41" customFormat="1" x14ac:dyDescent="0.3">
      <c r="A24" s="74" t="s">
        <v>1674</v>
      </c>
      <c r="B24" s="75">
        <v>46277.126388888901</v>
      </c>
      <c r="C24" s="74" t="s">
        <v>529</v>
      </c>
      <c r="D24" s="74" t="s">
        <v>1096</v>
      </c>
      <c r="E24" s="74" t="s">
        <v>1671</v>
      </c>
      <c r="F24" s="74" t="s">
        <v>1672</v>
      </c>
      <c r="G24" s="74" t="s">
        <v>1633</v>
      </c>
      <c r="H24" s="76">
        <v>3931</v>
      </c>
      <c r="I24" s="74">
        <v>12.9</v>
      </c>
      <c r="J24" s="77">
        <v>0.72</v>
      </c>
      <c r="K24" s="74" t="str">
        <f>IF(J24&lt;Config!$B$12,"Yes","No")</f>
        <v>Yes</v>
      </c>
      <c r="L24" s="74" t="s">
        <v>1665</v>
      </c>
      <c r="M24" s="74" t="s">
        <v>1170</v>
      </c>
      <c r="N24" s="74" t="s">
        <v>1034</v>
      </c>
    </row>
    <row r="25" spans="1:14" s="41" customFormat="1" x14ac:dyDescent="0.3">
      <c r="A25" s="74" t="s">
        <v>1675</v>
      </c>
      <c r="B25" s="75">
        <v>46277.157638888901</v>
      </c>
      <c r="C25" s="74" t="s">
        <v>484</v>
      </c>
      <c r="D25" s="74" t="s">
        <v>1035</v>
      </c>
      <c r="E25" s="74" t="s">
        <v>1645</v>
      </c>
      <c r="F25" s="74" t="s">
        <v>1646</v>
      </c>
      <c r="G25" s="74" t="s">
        <v>1633</v>
      </c>
      <c r="H25" s="76">
        <v>1066</v>
      </c>
      <c r="I25" s="74">
        <v>15.6</v>
      </c>
      <c r="J25" s="77">
        <v>0.79</v>
      </c>
      <c r="K25" s="74" t="str">
        <f>IF(J25&lt;Config!$B$12,"Yes","No")</f>
        <v>Yes</v>
      </c>
      <c r="L25" s="74" t="s">
        <v>1665</v>
      </c>
      <c r="M25" s="74" t="s">
        <v>1170</v>
      </c>
      <c r="N25" s="74" t="s">
        <v>1034</v>
      </c>
    </row>
    <row r="26" spans="1:14" s="41" customFormat="1" x14ac:dyDescent="0.3">
      <c r="A26" s="74" t="s">
        <v>1676</v>
      </c>
      <c r="B26" s="75">
        <v>46277.963194444397</v>
      </c>
      <c r="C26" s="74" t="s">
        <v>449</v>
      </c>
      <c r="D26" s="74" t="s">
        <v>1056</v>
      </c>
      <c r="E26" s="74" t="s">
        <v>1677</v>
      </c>
      <c r="F26" s="74" t="s">
        <v>1678</v>
      </c>
      <c r="G26" s="74" t="s">
        <v>1633</v>
      </c>
      <c r="H26" s="76">
        <v>6829</v>
      </c>
      <c r="I26" s="74">
        <v>18.600000000000001</v>
      </c>
      <c r="J26" s="77">
        <v>0.8</v>
      </c>
      <c r="K26" s="74" t="str">
        <f>IF(J26&lt;Config!$B$12,"Yes","No")</f>
        <v>Yes</v>
      </c>
      <c r="L26" s="74" t="s">
        <v>1634</v>
      </c>
      <c r="M26" s="74" t="s">
        <v>1176</v>
      </c>
      <c r="N26" s="74" t="s">
        <v>1679</v>
      </c>
    </row>
    <row r="27" spans="1:14" s="41" customFormat="1" x14ac:dyDescent="0.3">
      <c r="A27" s="74" t="s">
        <v>1680</v>
      </c>
      <c r="B27" s="75">
        <v>46277.9777777778</v>
      </c>
      <c r="C27" s="74" t="s">
        <v>563</v>
      </c>
      <c r="D27" s="74" t="s">
        <v>1020</v>
      </c>
      <c r="E27" s="74" t="s">
        <v>1663</v>
      </c>
      <c r="F27" s="74" t="s">
        <v>1664</v>
      </c>
      <c r="G27" s="74" t="s">
        <v>1633</v>
      </c>
      <c r="H27" s="76">
        <v>3214</v>
      </c>
      <c r="I27" s="74">
        <v>33.6</v>
      </c>
      <c r="J27" s="77">
        <v>0.8</v>
      </c>
      <c r="K27" s="74" t="str">
        <f>IF(J27&lt;Config!$B$12,"Yes","No")</f>
        <v>Yes</v>
      </c>
      <c r="L27" s="74" t="s">
        <v>1634</v>
      </c>
      <c r="M27" s="74" t="s">
        <v>1170</v>
      </c>
      <c r="N27" s="74" t="s">
        <v>1034</v>
      </c>
    </row>
    <row r="28" spans="1:14" s="41" customFormat="1" x14ac:dyDescent="0.3">
      <c r="A28" s="74" t="s">
        <v>1681</v>
      </c>
      <c r="B28" s="75">
        <v>46279.832638888904</v>
      </c>
      <c r="C28" s="74" t="s">
        <v>449</v>
      </c>
      <c r="D28" s="74" t="s">
        <v>1096</v>
      </c>
      <c r="E28" s="74" t="s">
        <v>1682</v>
      </c>
      <c r="F28" s="74" t="s">
        <v>1683</v>
      </c>
      <c r="G28" s="74" t="s">
        <v>1633</v>
      </c>
      <c r="H28" s="76">
        <v>5880</v>
      </c>
      <c r="I28" s="74">
        <v>21.6</v>
      </c>
      <c r="J28" s="77">
        <v>0.86</v>
      </c>
      <c r="K28" s="74" t="str">
        <f>IF(J28&lt;Config!$B$12,"Yes","No")</f>
        <v>No</v>
      </c>
      <c r="L28" s="74" t="s">
        <v>1653</v>
      </c>
      <c r="M28" s="74" t="s">
        <v>650</v>
      </c>
      <c r="N28" s="74" t="s">
        <v>1679</v>
      </c>
    </row>
    <row r="29" spans="1:14" s="41" customFormat="1" x14ac:dyDescent="0.3">
      <c r="A29" s="74" t="s">
        <v>1684</v>
      </c>
      <c r="B29" s="75">
        <v>46281.766666666699</v>
      </c>
      <c r="C29" s="74" t="s">
        <v>449</v>
      </c>
      <c r="D29" s="74" t="s">
        <v>1079</v>
      </c>
      <c r="E29" s="74" t="s">
        <v>1677</v>
      </c>
      <c r="F29" s="74" t="s">
        <v>1678</v>
      </c>
      <c r="G29" s="74" t="s">
        <v>1633</v>
      </c>
      <c r="H29" s="76">
        <v>1330</v>
      </c>
      <c r="I29" s="74">
        <v>25</v>
      </c>
      <c r="J29" s="77">
        <v>0.94</v>
      </c>
      <c r="K29" s="74" t="str">
        <f>IF(J29&lt;Config!$B$12,"Yes","No")</f>
        <v>No</v>
      </c>
      <c r="L29" s="74" t="s">
        <v>1653</v>
      </c>
      <c r="M29" s="74" t="s">
        <v>650</v>
      </c>
      <c r="N29" s="74" t="s">
        <v>1679</v>
      </c>
    </row>
    <row r="30" spans="1:14" s="41" customFormat="1" x14ac:dyDescent="0.3">
      <c r="A30" s="74" t="s">
        <v>1685</v>
      </c>
      <c r="B30" s="75">
        <v>46281.855555555601</v>
      </c>
      <c r="C30" s="74" t="s">
        <v>449</v>
      </c>
      <c r="D30" s="74" t="s">
        <v>1141</v>
      </c>
      <c r="E30" s="74" t="s">
        <v>1677</v>
      </c>
      <c r="F30" s="74" t="s">
        <v>1678</v>
      </c>
      <c r="G30" s="74" t="s">
        <v>1633</v>
      </c>
      <c r="H30" s="76">
        <v>3421</v>
      </c>
      <c r="I30" s="74">
        <v>38.200000000000003</v>
      </c>
      <c r="J30" s="77">
        <v>0.76</v>
      </c>
      <c r="K30" s="74" t="str">
        <f>IF(J30&lt;Config!$B$12,"Yes","No")</f>
        <v>Yes</v>
      </c>
      <c r="L30" s="74" t="s">
        <v>1634</v>
      </c>
      <c r="M30" s="74" t="s">
        <v>1170</v>
      </c>
      <c r="N30" s="74" t="s">
        <v>1679</v>
      </c>
    </row>
    <row r="31" spans="1:14" s="41" customFormat="1" x14ac:dyDescent="0.3">
      <c r="A31" s="74" t="s">
        <v>1686</v>
      </c>
      <c r="B31" s="75">
        <v>46282.029861111099</v>
      </c>
      <c r="C31" s="74" t="s">
        <v>484</v>
      </c>
      <c r="D31" s="74" t="s">
        <v>1028</v>
      </c>
      <c r="E31" s="74" t="s">
        <v>1645</v>
      </c>
      <c r="F31" s="74" t="s">
        <v>1646</v>
      </c>
      <c r="G31" s="74" t="s">
        <v>1633</v>
      </c>
      <c r="H31" s="76">
        <v>8018</v>
      </c>
      <c r="I31" s="74">
        <v>19.5</v>
      </c>
      <c r="J31" s="77">
        <v>0.87</v>
      </c>
      <c r="K31" s="74" t="str">
        <f>IF(J31&lt;Config!$B$12,"Yes","No")</f>
        <v>No</v>
      </c>
      <c r="L31" s="74" t="s">
        <v>1653</v>
      </c>
      <c r="M31" s="74" t="s">
        <v>650</v>
      </c>
      <c r="N31" s="74" t="s">
        <v>1034</v>
      </c>
    </row>
    <row r="32" spans="1:14" s="41" customFormat="1" x14ac:dyDescent="0.3">
      <c r="A32" s="74" t="s">
        <v>1687</v>
      </c>
      <c r="B32" s="75">
        <v>46282.040972222203</v>
      </c>
      <c r="C32" s="74" t="s">
        <v>552</v>
      </c>
      <c r="D32" s="74" t="s">
        <v>1116</v>
      </c>
      <c r="E32" s="74" t="s">
        <v>1636</v>
      </c>
      <c r="F32" s="74" t="s">
        <v>1637</v>
      </c>
      <c r="G32" s="74" t="s">
        <v>1633</v>
      </c>
      <c r="H32" s="76">
        <v>5169</v>
      </c>
      <c r="I32" s="74">
        <v>32.4</v>
      </c>
      <c r="J32" s="77">
        <v>0.85</v>
      </c>
      <c r="K32" s="74" t="str">
        <f>IF(J32&lt;Config!$B$12,"Yes","No")</f>
        <v>No</v>
      </c>
      <c r="L32" s="74" t="s">
        <v>1653</v>
      </c>
      <c r="M32" s="74" t="s">
        <v>650</v>
      </c>
      <c r="N32" s="74" t="s">
        <v>1034</v>
      </c>
    </row>
    <row r="33" spans="1:14" s="41" customFormat="1" x14ac:dyDescent="0.3">
      <c r="A33" s="74" t="s">
        <v>1688</v>
      </c>
      <c r="B33" s="75">
        <v>46282.140972222202</v>
      </c>
      <c r="C33" s="74" t="s">
        <v>449</v>
      </c>
      <c r="D33" s="74" t="s">
        <v>1060</v>
      </c>
      <c r="E33" s="74" t="s">
        <v>1677</v>
      </c>
      <c r="F33" s="74" t="s">
        <v>1678</v>
      </c>
      <c r="G33" s="74" t="s">
        <v>1633</v>
      </c>
      <c r="H33" s="76">
        <v>8073</v>
      </c>
      <c r="I33" s="74">
        <v>31</v>
      </c>
      <c r="J33" s="77">
        <v>0.8</v>
      </c>
      <c r="K33" s="74" t="str">
        <f>IF(J33&lt;Config!$B$12,"Yes","No")</f>
        <v>Yes</v>
      </c>
      <c r="L33" s="74" t="s">
        <v>1634</v>
      </c>
      <c r="M33" s="74" t="s">
        <v>1172</v>
      </c>
      <c r="N33" s="74" t="s">
        <v>1679</v>
      </c>
    </row>
    <row r="34" spans="1:14" s="41" customFormat="1" x14ac:dyDescent="0.3">
      <c r="A34" s="74" t="s">
        <v>1689</v>
      </c>
      <c r="B34" s="75">
        <v>46282.6472222222</v>
      </c>
      <c r="C34" s="74" t="s">
        <v>552</v>
      </c>
      <c r="D34" s="74" t="s">
        <v>1108</v>
      </c>
      <c r="E34" s="74" t="s">
        <v>1636</v>
      </c>
      <c r="F34" s="74" t="s">
        <v>1637</v>
      </c>
      <c r="G34" s="74" t="s">
        <v>1633</v>
      </c>
      <c r="H34" s="76">
        <v>7659</v>
      </c>
      <c r="I34" s="74">
        <v>38.700000000000003</v>
      </c>
      <c r="J34" s="77">
        <v>0.76</v>
      </c>
      <c r="K34" s="74" t="str">
        <f>IF(J34&lt;Config!$B$12,"Yes","No")</f>
        <v>Yes</v>
      </c>
      <c r="L34" s="74" t="s">
        <v>1665</v>
      </c>
      <c r="M34" s="74" t="s">
        <v>1170</v>
      </c>
      <c r="N34" s="74" t="s">
        <v>1034</v>
      </c>
    </row>
    <row r="35" spans="1:14" s="41" customFormat="1" x14ac:dyDescent="0.3">
      <c r="A35" s="74" t="s">
        <v>1690</v>
      </c>
      <c r="B35" s="75">
        <v>46282.806250000001</v>
      </c>
      <c r="C35" s="74" t="s">
        <v>449</v>
      </c>
      <c r="D35" s="74" t="s">
        <v>1108</v>
      </c>
      <c r="E35" s="74" t="s">
        <v>1677</v>
      </c>
      <c r="F35" s="74" t="s">
        <v>1678</v>
      </c>
      <c r="G35" s="74" t="s">
        <v>1633</v>
      </c>
      <c r="H35" s="76">
        <v>3860</v>
      </c>
      <c r="I35" s="74">
        <v>20.9</v>
      </c>
      <c r="J35" s="77">
        <v>0.85</v>
      </c>
      <c r="K35" s="74" t="str">
        <f>IF(J35&lt;Config!$B$12,"Yes","No")</f>
        <v>No</v>
      </c>
      <c r="L35" s="74" t="s">
        <v>1653</v>
      </c>
      <c r="M35" s="74" t="s">
        <v>650</v>
      </c>
      <c r="N35" s="74" t="s">
        <v>1679</v>
      </c>
    </row>
    <row r="36" spans="1:14" s="41" customFormat="1" x14ac:dyDescent="0.3">
      <c r="A36" s="74" t="s">
        <v>1691</v>
      </c>
      <c r="B36" s="75">
        <v>46282.996527777803</v>
      </c>
      <c r="C36" s="74" t="s">
        <v>552</v>
      </c>
      <c r="D36" s="74" t="s">
        <v>1028</v>
      </c>
      <c r="E36" s="74" t="s">
        <v>1636</v>
      </c>
      <c r="F36" s="74" t="s">
        <v>1637</v>
      </c>
      <c r="G36" s="74" t="s">
        <v>1633</v>
      </c>
      <c r="H36" s="76">
        <v>8502</v>
      </c>
      <c r="I36" s="74">
        <v>3.7</v>
      </c>
      <c r="J36" s="77">
        <v>0.72</v>
      </c>
      <c r="K36" s="74" t="str">
        <f>IF(J36&lt;Config!$B$12,"Yes","No")</f>
        <v>Yes</v>
      </c>
      <c r="L36" s="74" t="s">
        <v>1665</v>
      </c>
      <c r="M36" s="74" t="s">
        <v>1176</v>
      </c>
      <c r="N36" s="74" t="s">
        <v>1034</v>
      </c>
    </row>
    <row r="37" spans="1:14" s="41" customFormat="1" x14ac:dyDescent="0.3">
      <c r="A37" s="74" t="s">
        <v>1692</v>
      </c>
      <c r="B37" s="75">
        <v>46283.230555555601</v>
      </c>
      <c r="C37" s="74" t="s">
        <v>563</v>
      </c>
      <c r="D37" s="74" t="s">
        <v>1071</v>
      </c>
      <c r="E37" s="74" t="s">
        <v>1663</v>
      </c>
      <c r="F37" s="74" t="s">
        <v>1664</v>
      </c>
      <c r="G37" s="74" t="s">
        <v>1633</v>
      </c>
      <c r="H37" s="76">
        <v>6926</v>
      </c>
      <c r="I37" s="74">
        <v>11</v>
      </c>
      <c r="J37" s="77">
        <v>0.73</v>
      </c>
      <c r="K37" s="74" t="str">
        <f>IF(J37&lt;Config!$B$12,"Yes","No")</f>
        <v>Yes</v>
      </c>
      <c r="L37" s="74" t="s">
        <v>1665</v>
      </c>
      <c r="M37" s="74" t="s">
        <v>1170</v>
      </c>
      <c r="N37" s="74" t="s">
        <v>1034</v>
      </c>
    </row>
    <row r="38" spans="1:14" s="41" customFormat="1" x14ac:dyDescent="0.3">
      <c r="A38" s="74" t="s">
        <v>1693</v>
      </c>
      <c r="B38" s="75">
        <v>46284.886805555601</v>
      </c>
      <c r="C38" s="74" t="s">
        <v>529</v>
      </c>
      <c r="D38" s="74" t="s">
        <v>1035</v>
      </c>
      <c r="E38" s="74" t="s">
        <v>1671</v>
      </c>
      <c r="F38" s="74" t="s">
        <v>1672</v>
      </c>
      <c r="G38" s="74" t="s">
        <v>1633</v>
      </c>
      <c r="H38" s="76">
        <v>1739</v>
      </c>
      <c r="I38" s="74">
        <v>4.9000000000000004</v>
      </c>
      <c r="J38" s="77">
        <v>0.77</v>
      </c>
      <c r="K38" s="74" t="str">
        <f>IF(J38&lt;Config!$B$12,"Yes","No")</f>
        <v>Yes</v>
      </c>
      <c r="L38" s="74" t="s">
        <v>1634</v>
      </c>
      <c r="M38" s="74" t="s">
        <v>1172</v>
      </c>
      <c r="N38" s="74" t="s">
        <v>1034</v>
      </c>
    </row>
    <row r="39" spans="1:14" s="41" customFormat="1" x14ac:dyDescent="0.3">
      <c r="A39" s="74" t="s">
        <v>1694</v>
      </c>
      <c r="B39" s="75">
        <v>46285.001388888901</v>
      </c>
      <c r="C39" s="74" t="s">
        <v>563</v>
      </c>
      <c r="D39" s="74" t="s">
        <v>1149</v>
      </c>
      <c r="E39" s="74" t="s">
        <v>1663</v>
      </c>
      <c r="F39" s="74" t="s">
        <v>1664</v>
      </c>
      <c r="G39" s="74" t="s">
        <v>1633</v>
      </c>
      <c r="H39" s="76">
        <v>7531</v>
      </c>
      <c r="I39" s="74">
        <v>15.8</v>
      </c>
      <c r="J39" s="77">
        <v>0.78</v>
      </c>
      <c r="K39" s="74" t="str">
        <f>IF(J39&lt;Config!$B$12,"Yes","No")</f>
        <v>Yes</v>
      </c>
      <c r="L39" s="74" t="s">
        <v>1634</v>
      </c>
      <c r="M39" s="74" t="s">
        <v>1172</v>
      </c>
      <c r="N39" s="74" t="s">
        <v>1034</v>
      </c>
    </row>
    <row r="40" spans="1:14" s="41" customFormat="1" x14ac:dyDescent="0.3">
      <c r="A40" s="74" t="s">
        <v>1695</v>
      </c>
      <c r="B40" s="75">
        <v>46285.277083333298</v>
      </c>
      <c r="C40" s="74" t="s">
        <v>472</v>
      </c>
      <c r="D40" s="74" t="s">
        <v>1096</v>
      </c>
      <c r="E40" s="74" t="s">
        <v>1696</v>
      </c>
      <c r="F40" s="74" t="s">
        <v>1697</v>
      </c>
      <c r="G40" s="74" t="s">
        <v>1698</v>
      </c>
      <c r="H40" s="76">
        <v>5468</v>
      </c>
      <c r="I40" s="74">
        <v>30.6</v>
      </c>
      <c r="J40" s="77">
        <v>0.62</v>
      </c>
      <c r="K40" s="74" t="str">
        <f>IF(J40&lt;Config!$B$12,"Yes","No")</f>
        <v>Yes</v>
      </c>
      <c r="L40" s="74" t="s">
        <v>1665</v>
      </c>
      <c r="M40" s="74" t="s">
        <v>1176</v>
      </c>
      <c r="N40" s="74" t="s">
        <v>1699</v>
      </c>
    </row>
    <row r="41" spans="1:14" s="41" customFormat="1" x14ac:dyDescent="0.3">
      <c r="A41" s="74" t="s">
        <v>1700</v>
      </c>
      <c r="B41" s="75">
        <v>46285.342361111099</v>
      </c>
      <c r="C41" s="74" t="s">
        <v>472</v>
      </c>
      <c r="D41" s="74" t="s">
        <v>1141</v>
      </c>
      <c r="E41" s="74" t="s">
        <v>1696</v>
      </c>
      <c r="F41" s="74" t="s">
        <v>1697</v>
      </c>
      <c r="G41" s="74" t="s">
        <v>1698</v>
      </c>
      <c r="H41" s="76">
        <v>5478</v>
      </c>
      <c r="I41" s="74">
        <v>28.4</v>
      </c>
      <c r="J41" s="77">
        <v>0.71</v>
      </c>
      <c r="K41" s="74" t="str">
        <f>IF(J41&lt;Config!$B$12,"Yes","No")</f>
        <v>Yes</v>
      </c>
      <c r="L41" s="74" t="s">
        <v>1665</v>
      </c>
      <c r="M41" s="74" t="s">
        <v>1176</v>
      </c>
      <c r="N41" s="74" t="s">
        <v>1647</v>
      </c>
    </row>
    <row r="42" spans="1:14" s="41" customFormat="1" x14ac:dyDescent="0.3">
      <c r="A42" s="74" t="s">
        <v>1701</v>
      </c>
      <c r="B42" s="75">
        <v>46285.5805555556</v>
      </c>
      <c r="C42" s="74" t="s">
        <v>540</v>
      </c>
      <c r="D42" s="74" t="s">
        <v>1112</v>
      </c>
      <c r="E42" s="74" t="s">
        <v>1639</v>
      </c>
      <c r="F42" s="74" t="s">
        <v>1640</v>
      </c>
      <c r="G42" s="74" t="s">
        <v>1633</v>
      </c>
      <c r="H42" s="76">
        <v>6527</v>
      </c>
      <c r="I42" s="74">
        <v>37.4</v>
      </c>
      <c r="J42" s="77">
        <v>0.72</v>
      </c>
      <c r="K42" s="74" t="str">
        <f>IF(J42&lt;Config!$B$12,"Yes","No")</f>
        <v>Yes</v>
      </c>
      <c r="L42" s="74" t="s">
        <v>1634</v>
      </c>
      <c r="M42" s="74" t="s">
        <v>1176</v>
      </c>
      <c r="N42" s="74" t="s">
        <v>1034</v>
      </c>
    </row>
    <row r="43" spans="1:14" s="41" customFormat="1" x14ac:dyDescent="0.3">
      <c r="A43" s="74" t="s">
        <v>1702</v>
      </c>
      <c r="B43" s="75">
        <v>46285.8347222222</v>
      </c>
      <c r="C43" s="74" t="s">
        <v>472</v>
      </c>
      <c r="D43" s="74" t="s">
        <v>1126</v>
      </c>
      <c r="E43" s="74" t="s">
        <v>1696</v>
      </c>
      <c r="F43" s="74" t="s">
        <v>1697</v>
      </c>
      <c r="G43" s="74" t="s">
        <v>1698</v>
      </c>
      <c r="H43" s="76">
        <v>5607</v>
      </c>
      <c r="I43" s="74">
        <v>9.6999999999999993</v>
      </c>
      <c r="J43" s="77">
        <v>0.66</v>
      </c>
      <c r="K43" s="74" t="str">
        <f>IF(J43&lt;Config!$B$12,"Yes","No")</f>
        <v>Yes</v>
      </c>
      <c r="L43" s="74" t="s">
        <v>1665</v>
      </c>
      <c r="M43" s="74" t="s">
        <v>1170</v>
      </c>
      <c r="N43" s="74" t="s">
        <v>1699</v>
      </c>
    </row>
    <row r="44" spans="1:14" s="41" customFormat="1" x14ac:dyDescent="0.3">
      <c r="A44" s="74" t="s">
        <v>1703</v>
      </c>
      <c r="B44" s="75">
        <v>46286.155555555597</v>
      </c>
      <c r="C44" s="74" t="s">
        <v>518</v>
      </c>
      <c r="D44" s="74" t="s">
        <v>1088</v>
      </c>
      <c r="E44" s="74" t="s">
        <v>1631</v>
      </c>
      <c r="F44" s="74" t="s">
        <v>1632</v>
      </c>
      <c r="G44" s="74" t="s">
        <v>1633</v>
      </c>
      <c r="H44" s="76">
        <v>8640</v>
      </c>
      <c r="I44" s="74">
        <v>26</v>
      </c>
      <c r="J44" s="77">
        <v>0.9</v>
      </c>
      <c r="K44" s="74" t="str">
        <f>IF(J44&lt;Config!$B$12,"Yes","No")</f>
        <v>No</v>
      </c>
      <c r="L44" s="74" t="s">
        <v>1665</v>
      </c>
      <c r="M44" s="74" t="s">
        <v>1170</v>
      </c>
      <c r="N44" s="74" t="s">
        <v>1034</v>
      </c>
    </row>
    <row r="45" spans="1:14" s="41" customFormat="1" x14ac:dyDescent="0.3">
      <c r="A45" s="74" t="s">
        <v>1704</v>
      </c>
      <c r="B45" s="75">
        <v>46286.3527777778</v>
      </c>
      <c r="C45" s="74" t="s">
        <v>472</v>
      </c>
      <c r="D45" s="74" t="s">
        <v>1130</v>
      </c>
      <c r="E45" s="74" t="s">
        <v>1696</v>
      </c>
      <c r="F45" s="74" t="s">
        <v>1697</v>
      </c>
      <c r="G45" s="74" t="s">
        <v>1698</v>
      </c>
      <c r="H45" s="76">
        <v>886</v>
      </c>
      <c r="I45" s="74">
        <v>36.4</v>
      </c>
      <c r="J45" s="77">
        <v>0.7</v>
      </c>
      <c r="K45" s="74" t="str">
        <f>IF(J45&lt;Config!$B$12,"Yes","No")</f>
        <v>Yes</v>
      </c>
      <c r="L45" s="74" t="s">
        <v>1634</v>
      </c>
      <c r="M45" s="74" t="s">
        <v>1170</v>
      </c>
      <c r="N45" s="74" t="s">
        <v>1699</v>
      </c>
    </row>
    <row r="46" spans="1:14" s="41" customFormat="1" x14ac:dyDescent="0.3">
      <c r="A46" s="74" t="s">
        <v>1705</v>
      </c>
      <c r="B46" s="75">
        <v>46287.992361111101</v>
      </c>
      <c r="C46" s="74" t="s">
        <v>472</v>
      </c>
      <c r="D46" s="74" t="s">
        <v>1047</v>
      </c>
      <c r="E46" s="74" t="s">
        <v>1696</v>
      </c>
      <c r="F46" s="74" t="s">
        <v>1697</v>
      </c>
      <c r="G46" s="74" t="s">
        <v>1698</v>
      </c>
      <c r="H46" s="76">
        <v>1418</v>
      </c>
      <c r="I46" s="74">
        <v>27.2</v>
      </c>
      <c r="J46" s="77">
        <v>0.57999999999999996</v>
      </c>
      <c r="K46" s="74" t="str">
        <f>IF(J46&lt;Config!$B$12,"Yes","No")</f>
        <v>Yes</v>
      </c>
      <c r="L46" s="74" t="s">
        <v>1665</v>
      </c>
      <c r="M46" s="74" t="s">
        <v>1172</v>
      </c>
      <c r="N46" s="74" t="s">
        <v>1699</v>
      </c>
    </row>
    <row r="47" spans="1:14" s="41" customFormat="1" x14ac:dyDescent="0.3">
      <c r="A47" s="74" t="s">
        <v>1706</v>
      </c>
      <c r="B47" s="75">
        <v>46288.370833333298</v>
      </c>
      <c r="C47" s="74" t="s">
        <v>1650</v>
      </c>
      <c r="D47" s="74" t="s">
        <v>1134</v>
      </c>
      <c r="E47" s="74" t="s">
        <v>1707</v>
      </c>
      <c r="F47" s="74" t="s">
        <v>1708</v>
      </c>
      <c r="G47" s="74" t="s">
        <v>1633</v>
      </c>
      <c r="H47" s="76">
        <v>2842</v>
      </c>
      <c r="I47" s="74">
        <v>12.8</v>
      </c>
      <c r="J47" s="77">
        <v>0.96</v>
      </c>
      <c r="K47" s="74" t="str">
        <f>IF(J47&lt;Config!$B$12,"Yes","No")</f>
        <v>No</v>
      </c>
      <c r="L47" s="74" t="s">
        <v>1653</v>
      </c>
      <c r="M47" s="74" t="s">
        <v>650</v>
      </c>
      <c r="N47" s="74" t="s">
        <v>1034</v>
      </c>
    </row>
    <row r="48" spans="1:14" s="41" customFormat="1" x14ac:dyDescent="0.3">
      <c r="A48" s="74" t="s">
        <v>1709</v>
      </c>
      <c r="B48" s="75">
        <v>46288.433333333298</v>
      </c>
      <c r="C48" s="74" t="s">
        <v>507</v>
      </c>
      <c r="D48" s="74" t="s">
        <v>1122</v>
      </c>
      <c r="E48" s="74" t="s">
        <v>1656</v>
      </c>
      <c r="F48" s="74" t="s">
        <v>1657</v>
      </c>
      <c r="G48" s="74" t="s">
        <v>1633</v>
      </c>
      <c r="H48" s="76">
        <v>2729</v>
      </c>
      <c r="I48" s="74">
        <v>11.9</v>
      </c>
      <c r="J48" s="77">
        <v>0.86</v>
      </c>
      <c r="K48" s="74" t="str">
        <f>IF(J48&lt;Config!$B$12,"Yes","No")</f>
        <v>No</v>
      </c>
      <c r="L48" s="74" t="s">
        <v>1653</v>
      </c>
      <c r="M48" s="74" t="s">
        <v>650</v>
      </c>
      <c r="N48" s="74" t="s">
        <v>1034</v>
      </c>
    </row>
    <row r="49" spans="1:14" s="41" customFormat="1" x14ac:dyDescent="0.3">
      <c r="A49" s="74" t="s">
        <v>1710</v>
      </c>
      <c r="B49" s="75">
        <v>46288.682638888902</v>
      </c>
      <c r="C49" s="74" t="s">
        <v>1650</v>
      </c>
      <c r="D49" s="74" t="s">
        <v>1040</v>
      </c>
      <c r="E49" s="74" t="s">
        <v>1707</v>
      </c>
      <c r="F49" s="74" t="s">
        <v>1708</v>
      </c>
      <c r="G49" s="74" t="s">
        <v>1633</v>
      </c>
      <c r="H49" s="76">
        <v>1908</v>
      </c>
      <c r="I49" s="74">
        <v>38.200000000000003</v>
      </c>
      <c r="J49" s="77">
        <v>0.78</v>
      </c>
      <c r="K49" s="74" t="str">
        <f>IF(J49&lt;Config!$B$12,"Yes","No")</f>
        <v>Yes</v>
      </c>
      <c r="L49" s="74" t="s">
        <v>1634</v>
      </c>
      <c r="M49" s="74" t="s">
        <v>1172</v>
      </c>
      <c r="N49" s="74" t="s">
        <v>1034</v>
      </c>
    </row>
    <row r="50" spans="1:14" s="41" customFormat="1" x14ac:dyDescent="0.3">
      <c r="A50" s="74" t="s">
        <v>1711</v>
      </c>
      <c r="B50" s="75">
        <v>46288.932638888902</v>
      </c>
      <c r="C50" s="74" t="s">
        <v>552</v>
      </c>
      <c r="D50" s="74" t="s">
        <v>1065</v>
      </c>
      <c r="E50" s="74" t="s">
        <v>1636</v>
      </c>
      <c r="F50" s="74" t="s">
        <v>1637</v>
      </c>
      <c r="G50" s="74" t="s">
        <v>1633</v>
      </c>
      <c r="H50" s="76">
        <v>7321</v>
      </c>
      <c r="I50" s="74">
        <v>13.9</v>
      </c>
      <c r="J50" s="77">
        <v>0.91</v>
      </c>
      <c r="K50" s="74" t="str">
        <f>IF(J50&lt;Config!$B$12,"Yes","No")</f>
        <v>No</v>
      </c>
      <c r="L50" s="74" t="s">
        <v>1653</v>
      </c>
      <c r="M50" s="74" t="s">
        <v>650</v>
      </c>
      <c r="N50" s="74" t="s">
        <v>1034</v>
      </c>
    </row>
    <row r="51" spans="1:14" s="41" customFormat="1" x14ac:dyDescent="0.3">
      <c r="A51" s="74" t="s">
        <v>1712</v>
      </c>
      <c r="B51" s="75">
        <v>46289.09375</v>
      </c>
      <c r="C51" s="74" t="s">
        <v>484</v>
      </c>
      <c r="D51" s="74" t="s">
        <v>1051</v>
      </c>
      <c r="E51" s="74" t="s">
        <v>1645</v>
      </c>
      <c r="F51" s="74" t="s">
        <v>1646</v>
      </c>
      <c r="G51" s="74" t="s">
        <v>1633</v>
      </c>
      <c r="H51" s="76">
        <v>5870</v>
      </c>
      <c r="I51" s="74">
        <v>38.700000000000003</v>
      </c>
      <c r="J51" s="77">
        <v>0.72</v>
      </c>
      <c r="K51" s="74" t="str">
        <f>IF(J51&lt;Config!$B$12,"Yes","No")</f>
        <v>Yes</v>
      </c>
      <c r="L51" s="74" t="s">
        <v>1634</v>
      </c>
      <c r="M51" s="74" t="s">
        <v>1176</v>
      </c>
      <c r="N51" s="74" t="s">
        <v>1034</v>
      </c>
    </row>
    <row r="52" spans="1:14" s="41" customFormat="1" x14ac:dyDescent="0.3">
      <c r="A52" s="74" t="s">
        <v>1713</v>
      </c>
      <c r="B52" s="75">
        <v>46291.808333333298</v>
      </c>
      <c r="C52" s="74" t="s">
        <v>529</v>
      </c>
      <c r="D52" s="74" t="s">
        <v>1116</v>
      </c>
      <c r="E52" s="74" t="s">
        <v>1671</v>
      </c>
      <c r="F52" s="74" t="s">
        <v>1672</v>
      </c>
      <c r="G52" s="74" t="s">
        <v>1633</v>
      </c>
      <c r="H52" s="76">
        <v>3327</v>
      </c>
      <c r="I52" s="74">
        <v>8.1999999999999993</v>
      </c>
      <c r="J52" s="77">
        <v>0.76</v>
      </c>
      <c r="K52" s="74" t="str">
        <f>IF(J52&lt;Config!$B$12,"Yes","No")</f>
        <v>Yes</v>
      </c>
      <c r="L52" s="74" t="s">
        <v>1634</v>
      </c>
      <c r="M52" s="74" t="s">
        <v>1172</v>
      </c>
      <c r="N52" s="74" t="s">
        <v>1034</v>
      </c>
    </row>
    <row r="53" spans="1:14" s="41" customFormat="1" x14ac:dyDescent="0.3"/>
  </sheetData>
  <conditionalFormatting sqref="L5:L52">
    <cfRule type="cellIs" dxfId="0" priority="2" operator="equal">
      <formula>"Overridden"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404b1967-6507-45ab-8a6d-7374a3f478be}" enabled="0" method="" siteId="{404b1967-6507-45ab-8a6d-7374a3f478b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README</vt:lpstr>
      <vt:lpstr>Dashboard</vt:lpstr>
      <vt:lpstr>AI_System_Register</vt:lpstr>
      <vt:lpstr>Annex_III_Guide</vt:lpstr>
      <vt:lpstr>Decision_Logic</vt:lpstr>
      <vt:lpstr>MVP_Roadmap</vt:lpstr>
      <vt:lpstr>MVP_Backlog</vt:lpstr>
      <vt:lpstr>Agent_Catalog</vt:lpstr>
      <vt:lpstr>Tiering_Rules</vt:lpstr>
      <vt:lpstr>Tier_Obligations</vt:lpstr>
      <vt:lpstr>Framework_Map</vt:lpstr>
      <vt:lpstr>Config</vt:lpstr>
      <vt:lpstr>Syn_AI_Inventory</vt:lpstr>
      <vt:lpstr>Syn_Tiering</vt:lpstr>
      <vt:lpstr>Syn_Gap_Assessment</vt:lpstr>
      <vt:lpstr>Syn_Remediation</vt:lpstr>
      <vt:lpstr>Syn_Monitoring</vt:lpstr>
      <vt:lpstr>Syn_Agent_Run_Log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AMEENUDEEN M</cp:lastModifiedBy>
  <cp:revision>0</cp:revision>
  <dcterms:created xsi:type="dcterms:W3CDTF">2026-09-28T08:54:44Z</dcterms:created>
  <dcterms:modified xsi:type="dcterms:W3CDTF">2026-10-23T04:56:26Z</dcterms:modified>
  <dc:language>en-US</dc:language>
</cp:coreProperties>
</file>